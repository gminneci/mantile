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DeepSeekV3 config" sheetId="2" r:id="rId5"/>
    <sheet state="visible" name="Nvidia" sheetId="3" r:id="rId6"/>
    <sheet state="visible" name="TCO model" sheetId="4" r:id="rId7"/>
  </sheets>
  <definedNames/>
  <calcPr/>
</workbook>
</file>

<file path=xl/sharedStrings.xml><?xml version="1.0" encoding="utf-8"?>
<sst xmlns="http://schemas.openxmlformats.org/spreadsheetml/2006/main" count="527" uniqueCount="284">
  <si>
    <t>model</t>
  </si>
  <si>
    <t>671B</t>
  </si>
  <si>
    <t>Precision</t>
  </si>
  <si>
    <t>Element bits</t>
  </si>
  <si>
    <t>Block size</t>
  </si>
  <si>
    <t>Scale bits</t>
  </si>
  <si>
    <t>Bits/val</t>
  </si>
  <si>
    <t>vocab_size</t>
  </si>
  <si>
    <t>fp4</t>
  </si>
  <si>
    <t>dim</t>
  </si>
  <si>
    <t>int8</t>
  </si>
  <si>
    <t>q_lora_rank</t>
  </si>
  <si>
    <t>fp8</t>
  </si>
  <si>
    <t>n_heads</t>
  </si>
  <si>
    <t>bf16</t>
  </si>
  <si>
    <t>qk_head_dim</t>
  </si>
  <si>
    <t>qk_rope_head_dim</t>
  </si>
  <si>
    <t>kv_lora_rank</t>
  </si>
  <si>
    <t>v_head_dim</t>
  </si>
  <si>
    <t>inter_dim</t>
  </si>
  <si>
    <t>moe_inter_dim</t>
  </si>
  <si>
    <t>n_routed_experts</t>
  </si>
  <si>
    <t>n_shared_experts</t>
  </si>
  <si>
    <t>n_activated_experts</t>
  </si>
  <si>
    <t>n_layers</t>
  </si>
  <si>
    <t>n_dense_layers</t>
  </si>
  <si>
    <t>additional</t>
  </si>
  <si>
    <t>seq_len</t>
  </si>
  <si>
    <t>batch_size</t>
  </si>
  <si>
    <t>batch_size=1</t>
  </si>
  <si>
    <t>format</t>
  </si>
  <si>
    <t>N weights</t>
  </si>
  <si>
    <t>Ops</t>
  </si>
  <si>
    <t>N Activations</t>
  </si>
  <si>
    <t>Weights MB</t>
  </si>
  <si>
    <t>Activ MB</t>
  </si>
  <si>
    <t>Vocab</t>
  </si>
  <si>
    <t>embed_tokens</t>
  </si>
  <si>
    <t>RoPE</t>
  </si>
  <si>
    <t>MLA</t>
  </si>
  <si>
    <t>input_layernorm</t>
  </si>
  <si>
    <t>q_down_proj</t>
  </si>
  <si>
    <t>q_down_layernorm</t>
  </si>
  <si>
    <t>q_up_proj</t>
  </si>
  <si>
    <t>kv_down_proj (+RoPE)</t>
  </si>
  <si>
    <t>kv_down_layernorm</t>
  </si>
  <si>
    <t>Load K cache (+RoPE)</t>
  </si>
  <si>
    <t>Load V cache</t>
  </si>
  <si>
    <t>kv_up_proj</t>
  </si>
  <si>
    <t>QK</t>
  </si>
  <si>
    <t>Scale + softmax (P)</t>
  </si>
  <si>
    <t>PV</t>
  </si>
  <si>
    <t>o_proj</t>
  </si>
  <si>
    <t>post_attention_layernorm</t>
  </si>
  <si>
    <t>MLP</t>
  </si>
  <si>
    <t>gate_proj</t>
  </si>
  <si>
    <t>up_proj</t>
  </si>
  <si>
    <t>act_fn</t>
  </si>
  <si>
    <t>down_proj</t>
  </si>
  <si>
    <t>Expert router</t>
  </si>
  <si>
    <t>expert_router</t>
  </si>
  <si>
    <t>Expert</t>
  </si>
  <si>
    <t>output_head</t>
  </si>
  <si>
    <t>softmax</t>
  </si>
  <si>
    <t>Calc per layer</t>
  </si>
  <si>
    <t>Stage</t>
  </si>
  <si>
    <t>Per layer, tot</t>
  </si>
  <si>
    <t>Per layer, active</t>
  </si>
  <si>
    <t>w per block, M</t>
  </si>
  <si>
    <t>weights MB</t>
  </si>
  <si>
    <t>activ. MB</t>
  </si>
  <si>
    <t>MFLOPS</t>
  </si>
  <si>
    <t>Calc overall</t>
  </si>
  <si>
    <t>Layers</t>
  </si>
  <si>
    <t>Total w, M</t>
  </si>
  <si>
    <t>Active w, M</t>
  </si>
  <si>
    <t>w MB (Total)</t>
  </si>
  <si>
    <t>w MB (Active)</t>
  </si>
  <si>
    <t>a MB (Total)</t>
  </si>
  <si>
    <t>a MB (Active)</t>
  </si>
  <si>
    <t>MoE</t>
  </si>
  <si>
    <t>Model</t>
  </si>
  <si>
    <t>236B</t>
  </si>
  <si>
    <t>16B</t>
  </si>
  <si>
    <t>Config</t>
  </si>
  <si>
    <t>V</t>
  </si>
  <si>
    <t>d</t>
  </si>
  <si>
    <t>n_expert_groups</t>
  </si>
  <si>
    <t>n_limited_groups</t>
  </si>
  <si>
    <t>route_scale</t>
  </si>
  <si>
    <t>score_func</t>
  </si>
  <si>
    <t>sigmoid</t>
  </si>
  <si>
    <t>d_c</t>
  </si>
  <si>
    <t>d_h</t>
  </si>
  <si>
    <t>qk_nope_head_dim</t>
  </si>
  <si>
    <t>Prefill</t>
  </si>
  <si>
    <t>Decode</t>
  </si>
  <si>
    <t>Per package</t>
  </si>
  <si>
    <t>NVL72</t>
  </si>
  <si>
    <t>NVL576</t>
  </si>
  <si>
    <t>H100</t>
  </si>
  <si>
    <t>H200</t>
  </si>
  <si>
    <t>B200</t>
  </si>
  <si>
    <t>DRAM unicorn</t>
  </si>
  <si>
    <t>NVL72 Ultra</t>
  </si>
  <si>
    <t>NVL144</t>
  </si>
  <si>
    <t>OLD NVL576</t>
  </si>
  <si>
    <t>Rubin CPX</t>
  </si>
  <si>
    <t>Reverse Jensen</t>
  </si>
  <si>
    <t>PFLOPS</t>
  </si>
  <si>
    <t>TPS/MW</t>
  </si>
  <si>
    <t>&lt;-- from curve</t>
  </si>
  <si>
    <t>tps/user</t>
  </si>
  <si>
    <t>bs</t>
  </si>
  <si>
    <t>int4</t>
  </si>
  <si>
    <t>POPS</t>
  </si>
  <si>
    <t>OS time</t>
  </si>
  <si>
    <t>match TPS/user first</t>
  </si>
  <si>
    <t>tok/sec/system</t>
  </si>
  <si>
    <t>then use whole seq for throughput</t>
  </si>
  <si>
    <t>Effective kW</t>
  </si>
  <si>
    <t>kW/system</t>
  </si>
  <si>
    <t>implied system power</t>
  </si>
  <si>
    <t>HBM size</t>
  </si>
  <si>
    <t>MB</t>
  </si>
  <si>
    <t>guess how many GPUs</t>
  </si>
  <si>
    <t>HBM BW</t>
  </si>
  <si>
    <t>GB/s</t>
  </si>
  <si>
    <t>Packages/chassis</t>
  </si>
  <si>
    <t>Chassis/rack</t>
  </si>
  <si>
    <t>Intra Chassis BW</t>
  </si>
  <si>
    <t>fp4/fp8</t>
  </si>
  <si>
    <t>BTW Chassis BW</t>
  </si>
  <si>
    <t>Blog</t>
  </si>
  <si>
    <t>NV Link setup latency</t>
  </si>
  <si>
    <t>micros</t>
  </si>
  <si>
    <t>kW/rack</t>
  </si>
  <si>
    <t>TCO $/sec</t>
  </si>
  <si>
    <t>MoE penallty</t>
  </si>
  <si>
    <t>Deployment</t>
  </si>
  <si>
    <t>Sequence length</t>
  </si>
  <si>
    <t>Batch size</t>
  </si>
  <si>
    <t>KV load factor</t>
  </si>
  <si>
    <t>&lt;-- % optimal tile size in MLA</t>
  </si>
  <si>
    <t>HBM efficiency</t>
  </si>
  <si>
    <t>kernel launch</t>
  </si>
  <si>
    <t>Kernel fusion</t>
  </si>
  <si>
    <t>Weight format</t>
  </si>
  <si>
    <t>https://github.com/NVIDIA/TensorRT-LLM/blob/main/docs/source/blogs/tech_blog/blog1_Pushing_Latency_Boundaries_Optimizing_DeepSeek-R1_Performance_on_NVIDIA_B200_GPUs.md#precision-strategy</t>
  </si>
  <si>
    <t>P[FL]OPS</t>
  </si>
  <si>
    <t>Latent KV (+RoPE)</t>
  </si>
  <si>
    <t>IN (Prefill) - per layer, whole sequence</t>
  </si>
  <si>
    <t>w MB (each)</t>
  </si>
  <si>
    <t>Total w MB</t>
  </si>
  <si>
    <t>TP payload MB</t>
  </si>
  <si>
    <t>EP payload MB</t>
  </si>
  <si>
    <t>n steps</t>
  </si>
  <si>
    <t>DP</t>
  </si>
  <si>
    <t>TP (or HP)</t>
  </si>
  <si>
    <t>EP (or MP)</t>
  </si>
  <si>
    <t>Tot n chips</t>
  </si>
  <si>
    <t>Stage GFLOPS</t>
  </si>
  <si>
    <t>PFLOPS x chip</t>
  </si>
  <si>
    <t>comms BW, GB/s</t>
  </si>
  <si>
    <t>comp micros</t>
  </si>
  <si>
    <t>w load, micros</t>
  </si>
  <si>
    <t>comms, micros</t>
  </si>
  <si>
    <t>tot, millis</t>
  </si>
  <si>
    <t>full overlap, millis</t>
  </si>
  <si>
    <t>HBM BW utilis %</t>
  </si>
  <si>
    <t>MFU %</t>
  </si>
  <si>
    <t>Overall</t>
  </si>
  <si>
    <t>ms</t>
  </si>
  <si>
    <t>% peak</t>
  </si>
  <si>
    <t>Mem (total, GB)</t>
  </si>
  <si>
    <t>GFLOPS (Active)</t>
  </si>
  <si>
    <t>No overlap, millis</t>
  </si>
  <si>
    <t>overlap, millis</t>
  </si>
  <si>
    <t>todo</t>
  </si>
  <si>
    <t>DP: compute is wrong</t>
  </si>
  <si>
    <t>DP: tot weights needs to change</t>
  </si>
  <si>
    <t>&lt;-- adj for sustained % of peak</t>
  </si>
  <si>
    <t>OUT (Decode) per layer, last token</t>
  </si>
  <si>
    <t>MB (each)</t>
  </si>
  <si>
    <t>TP</t>
  </si>
  <si>
    <t>Min n chips</t>
  </si>
  <si>
    <t>I/O BW, GB/s</t>
  </si>
  <si>
    <t>with overlap, millis</t>
  </si>
  <si>
    <t>kB</t>
  </si>
  <si>
    <t>In use</t>
  </si>
  <si>
    <t>TDP</t>
  </si>
  <si>
    <t>Seq time, sec</t>
  </si>
  <si>
    <t>Disagg adj</t>
  </si>
  <si>
    <t>TPS / package</t>
  </si>
  <si>
    <t>Peak PFlops / packg</t>
  </si>
  <si>
    <t>MFU / package</t>
  </si>
  <si>
    <t xml:space="preserve">HBM utilisation </t>
  </si>
  <si>
    <t>Power %</t>
  </si>
  <si>
    <t>TPS / MW</t>
  </si>
  <si>
    <t>Power model</t>
  </si>
  <si>
    <t>IN (prefill)</t>
  </si>
  <si>
    <t>α_comp</t>
  </si>
  <si>
    <t>&lt;-- observed from Hopper</t>
  </si>
  <si>
    <t>OUT (decode)</t>
  </si>
  <si>
    <t>β_mem</t>
  </si>
  <si>
    <t>Tot</t>
  </si>
  <si>
    <t>P_idle</t>
  </si>
  <si>
    <t>&lt;-- incl. everything in the rack, not just GPU - Hopper is ~45% of full tilt</t>
  </si>
  <si>
    <t>Results</t>
  </si>
  <si>
    <t>prefill</t>
  </si>
  <si>
    <t>TTFT, sec</t>
  </si>
  <si>
    <t>TBOT, millis</t>
  </si>
  <si>
    <t>decode</t>
  </si>
  <si>
    <t>TPS/ one user</t>
  </si>
  <si>
    <t>TPS / rack</t>
  </si>
  <si>
    <t>MFU</t>
  </si>
  <si>
    <t>MMU</t>
  </si>
  <si>
    <t>Cost / Mtok, $</t>
  </si>
  <si>
    <t>MFU p</t>
  </si>
  <si>
    <t>MFU d</t>
  </si>
  <si>
    <t>Mem BW p</t>
  </si>
  <si>
    <t>Mem BW d</t>
  </si>
  <si>
    <t>fp4/8, CPX/NVL-576</t>
  </si>
  <si>
    <t>fp4, CPX/NVL-576</t>
  </si>
  <si>
    <t>fp4/8, 2x NVL-576</t>
  </si>
  <si>
    <t>fp4, 2x NVL-576</t>
  </si>
  <si>
    <t>fp4-8, 2x nvl-576, 40k</t>
  </si>
  <si>
    <t>fp4-8, nvl-576 + CPX</t>
  </si>
  <si>
    <t>fp4, nvl-576 + CPX</t>
  </si>
  <si>
    <t>fp4-8, nvl-576 x2</t>
  </si>
  <si>
    <t>fp4, nvl-576 x2</t>
  </si>
  <si>
    <t>Unit</t>
  </si>
  <si>
    <t>LPU v2</t>
  </si>
  <si>
    <t>WSE-3</t>
  </si>
  <si>
    <t>SN40L-16</t>
  </si>
  <si>
    <t>Fractile?</t>
  </si>
  <si>
    <t>Capex</t>
  </si>
  <si>
    <t>Cost of building DC</t>
  </si>
  <si>
    <t>USD/rack</t>
  </si>
  <si>
    <t>Server Cost</t>
  </si>
  <si>
    <t>USD</t>
  </si>
  <si>
    <t>Useful Life in Years</t>
  </si>
  <si>
    <t>Years</t>
  </si>
  <si>
    <t>Cost of Capital</t>
  </si>
  <si>
    <t>%</t>
  </si>
  <si>
    <t>Total Capex per Month</t>
  </si>
  <si>
    <t>USD/m</t>
  </si>
  <si>
    <t>Opex</t>
  </si>
  <si>
    <t>Electricity Cost</t>
  </si>
  <si>
    <t>USD/kWh</t>
  </si>
  <si>
    <t>Utilization Rate</t>
  </si>
  <si>
    <t>Power Usage Effectiveness (PUE)</t>
  </si>
  <si>
    <t>Ratio</t>
  </si>
  <si>
    <t>Electricity Cost per kW per mth</t>
  </si>
  <si>
    <t>USD/kW/mth</t>
  </si>
  <si>
    <t>Colocation Cost</t>
  </si>
  <si>
    <t>Total Hosting Cost per kW per Month</t>
  </si>
  <si>
    <t>Server Power Consumption</t>
  </si>
  <si>
    <t>kW</t>
  </si>
  <si>
    <t>Total Opex per Month</t>
  </si>
  <si>
    <t>USD/mth</t>
  </si>
  <si>
    <t>Total Cost</t>
  </si>
  <si>
    <t>USD/sec</t>
  </si>
  <si>
    <t>Capex %</t>
  </si>
  <si>
    <t>Opex %</t>
  </si>
  <si>
    <t>from inferenceMax</t>
  </si>
  <si>
    <t>8k/1k</t>
  </si>
  <si>
    <t>1k/1k</t>
  </si>
  <si>
    <t>kW/GPU</t>
  </si>
  <si>
    <t>$/GPU/hr</t>
  </si>
  <si>
    <t>rack TCO</t>
  </si>
  <si>
    <t>TCO/Mtok</t>
  </si>
  <si>
    <t>y</t>
  </si>
  <si>
    <t>tok/s/GPU</t>
  </si>
  <si>
    <t>tok/s/MW</t>
  </si>
  <si>
    <t>h</t>
  </si>
  <si>
    <t>tok/s/rack</t>
  </si>
  <si>
    <t>m</t>
  </si>
  <si>
    <t>s</t>
  </si>
  <si>
    <t>$/Mtok</t>
  </si>
  <si>
    <t>From Jensen's plot</t>
  </si>
  <si>
    <t>Jensen (1k/2k)</t>
  </si>
  <si>
    <t>IMax (8k/1k)</t>
  </si>
  <si>
    <t>IMax (1k/1k)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</si>
</sst>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.000"/>
    <numFmt numFmtId="165" formatCode="[$$]#,##0.000"/>
    <numFmt numFmtId="166" formatCode="#,##0.0"/>
    <numFmt numFmtId="167" formatCode="0.0000"/>
    <numFmt numFmtId="168" formatCode="0.000"/>
    <numFmt numFmtId="169" formatCode="0.00000"/>
    <numFmt numFmtId="170" formatCode="0.0%"/>
    <numFmt numFmtId="171" formatCode="#,##0.00000"/>
    <numFmt numFmtId="172" formatCode="[$$]#,##0.00"/>
    <numFmt numFmtId="173" formatCode="[$$]#,##0"/>
    <numFmt numFmtId="174" formatCode="d/m"/>
    <numFmt numFmtId="175" formatCode="[$$]#,##0.000000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FF"/>
      <name val="Arial"/>
      <scheme val="minor"/>
    </font>
    <font/>
    <font>
      <u/>
      <color rgb="FF1155CC"/>
      <name val="Arial"/>
    </font>
    <font>
      <b/>
      <color rgb="FFFFFFFF"/>
      <name val="Arial"/>
    </font>
    <font>
      <b/>
      <color rgb="FF0000FF"/>
      <name val="Arial"/>
    </font>
    <font>
      <b/>
      <color rgb="FFFFFFFF"/>
      <name val="Arial"/>
      <scheme val="minor"/>
    </font>
    <font>
      <b/>
      <color theme="5"/>
      <name val="Arial"/>
    </font>
    <font>
      <sz val="10.0"/>
      <color theme="1"/>
      <name val="Arial"/>
      <scheme val="minor"/>
    </font>
    <font>
      <b/>
      <color rgb="FF434343"/>
      <name val="Arial"/>
      <scheme val="minor"/>
    </font>
    <font>
      <color rgb="FF434343"/>
      <name val="Arial"/>
      <scheme val="minor"/>
    </font>
    <font>
      <u/>
      <color rgb="FF0000FF"/>
    </font>
    <font>
      <b/>
      <u/>
      <color rgb="FF0000FF"/>
      <name val="Arial"/>
      <scheme val="minor"/>
    </font>
    <font>
      <color rgb="FFFF0000"/>
      <name val="Arial"/>
      <scheme val="minor"/>
    </font>
    <font>
      <i/>
      <color rgb="FF666666"/>
      <name val="Arial"/>
      <scheme val="minor"/>
    </font>
    <font>
      <b/>
      <color rgb="FFF3F3F3"/>
      <name val="Arial"/>
    </font>
    <font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8BC349"/>
        <bgColor rgb="FF8BC349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CCA677"/>
        <bgColor rgb="FFCCA677"/>
      </patternFill>
    </fill>
    <fill>
      <patternFill patternType="solid">
        <fgColor rgb="FF78909C"/>
        <bgColor rgb="FF78909C"/>
      </patternFill>
    </fill>
    <fill>
      <patternFill patternType="solid">
        <fgColor rgb="FF0000FF"/>
        <bgColor rgb="FF0000FF"/>
      </patternFill>
    </fill>
  </fills>
  <borders count="2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8BC349"/>
      </left>
      <right style="thick">
        <color rgb="FF8BC349"/>
      </right>
      <top style="thick">
        <color rgb="FF8BC349"/>
      </top>
    </border>
    <border>
      <left style="thick">
        <color rgb="FF8BC349"/>
      </left>
      <right style="thick">
        <color rgb="FF8BC349"/>
      </right>
    </border>
    <border>
      <left style="thick">
        <color rgb="FF8BC349"/>
      </left>
      <right style="thick">
        <color rgb="FF8BC349"/>
      </right>
      <bottom style="thick">
        <color rgb="FF8BC349"/>
      </bottom>
    </border>
    <border>
      <left style="thick">
        <color rgb="FFBDBDBD"/>
      </left>
      <top style="thick">
        <color rgb="FFBDBDBD"/>
      </top>
    </border>
    <border>
      <top style="thick">
        <color rgb="FFBDBDBD"/>
      </top>
    </border>
    <border>
      <right style="thick">
        <color rgb="FFBDBDBD"/>
      </right>
      <top style="thick">
        <color rgb="FFBDBDBD"/>
      </top>
    </border>
    <border>
      <left style="thick">
        <color rgb="FFBDBDBD"/>
      </left>
    </border>
    <border>
      <right style="thick">
        <color rgb="FFBDBDBD"/>
      </right>
    </border>
    <border>
      <left style="thick">
        <color rgb="FFBDBDBD"/>
      </left>
      <bottom style="thick">
        <color rgb="FFBDBDBD"/>
      </bottom>
    </border>
    <border>
      <bottom style="thick">
        <color rgb="FFBDBDBD"/>
      </bottom>
    </border>
    <border>
      <right style="thick">
        <color rgb="FFBDBDBD"/>
      </right>
      <bottom style="thick">
        <color rgb="FFBDBDBD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3" xfId="0" applyFont="1" applyNumberFormat="1"/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horizontal="center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0" fontId="4" numFmtId="3" xfId="0" applyAlignment="1" applyFont="1" applyNumberFormat="1">
      <alignment readingOrder="0" vertical="bottom"/>
    </xf>
    <xf borderId="0" fillId="0" fontId="2" numFmtId="164" xfId="0" applyFont="1" applyNumberFormat="1"/>
    <xf borderId="0" fillId="0" fontId="2" numFmtId="4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1" numFmtId="0" xfId="0" applyFont="1"/>
    <xf borderId="0" fillId="0" fontId="1" numFmtId="3" xfId="0" applyFont="1" applyNumberFormat="1"/>
    <xf borderId="1" fillId="0" fontId="1" numFmtId="3" xfId="0" applyAlignment="1" applyBorder="1" applyFont="1" applyNumberForma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bottom"/>
    </xf>
    <xf borderId="5" fillId="0" fontId="1" numFmtId="3" xfId="0" applyAlignment="1" applyBorder="1" applyFont="1" applyNumberFormat="1">
      <alignment horizontal="center" readingOrder="0"/>
    </xf>
    <xf borderId="4" fillId="0" fontId="1" numFmtId="3" xfId="0" applyAlignment="1" applyBorder="1" applyFont="1" applyNumberFormat="1">
      <alignment horizontal="center" readingOrder="0"/>
    </xf>
    <xf borderId="6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7" fillId="0" fontId="2" numFmtId="3" xfId="0" applyAlignment="1" applyBorder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0" fillId="0" fontId="2" numFmtId="4" xfId="0" applyAlignment="1" applyFont="1" applyNumberFormat="1">
      <alignment readingOrder="0"/>
    </xf>
    <xf borderId="8" fillId="0" fontId="2" numFmtId="4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3" xfId="0" applyFont="1" applyNumberFormat="1"/>
    <xf borderId="7" fillId="0" fontId="2" numFmtId="3" xfId="0" applyBorder="1" applyFont="1" applyNumberForma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3" xfId="0" applyBorder="1" applyFont="1" applyNumberFormat="1"/>
    <xf borderId="9" fillId="0" fontId="2" numFmtId="3" xfId="0" applyAlignment="1" applyBorder="1" applyFont="1" applyNumberFormat="1">
      <alignment readingOrder="0"/>
    </xf>
    <xf borderId="10" fillId="0" fontId="2" numFmtId="3" xfId="0" applyAlignment="1" applyBorder="1" applyFont="1" applyNumberFormat="1">
      <alignment readingOrder="0"/>
    </xf>
    <xf borderId="11" fillId="0" fontId="2" numFmtId="3" xfId="0" applyAlignment="1" applyBorder="1" applyFont="1" applyNumberFormat="1">
      <alignment readingOrder="0"/>
    </xf>
    <xf borderId="11" fillId="0" fontId="2" numFmtId="4" xfId="0" applyAlignment="1" applyBorder="1" applyFont="1" applyNumberFormat="1">
      <alignment readingOrder="0"/>
    </xf>
    <xf borderId="10" fillId="0" fontId="2" numFmtId="4" xfId="0" applyAlignment="1" applyBorder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2" numFmtId="4" xfId="0" applyAlignment="1" applyFont="1" applyNumberForma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12" fillId="2" fontId="8" numFmtId="0" xfId="0" applyAlignment="1" applyBorder="1" applyFill="1" applyFont="1">
      <alignment horizontal="center" readingOrder="0" vertical="bottom"/>
    </xf>
    <xf borderId="0" fillId="0" fontId="4" numFmtId="1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3" fillId="0" fontId="9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3" fontId="10" numFmtId="0" xfId="0" applyAlignment="1" applyFill="1" applyFont="1">
      <alignment horizontal="center" readingOrder="0"/>
    </xf>
    <xf borderId="13" fillId="0" fontId="4" numFmtId="4" xfId="0" applyAlignment="1" applyBorder="1" applyFont="1" applyNumberFormat="1">
      <alignment horizontal="center" vertical="bottom"/>
    </xf>
    <xf borderId="13" fillId="0" fontId="4" numFmtId="4" xfId="0" applyAlignment="1" applyBorder="1" applyFont="1" applyNumberFormat="1">
      <alignment horizontal="center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4" fontId="4" numFmtId="0" xfId="0" applyAlignment="1" applyFill="1" applyFont="1">
      <alignment vertical="bottom"/>
    </xf>
    <xf borderId="0" fillId="4" fontId="4" numFmtId="3" xfId="0" applyAlignment="1" applyFont="1" applyNumberFormat="1">
      <alignment horizontal="right"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ont="1">
      <alignment horizontal="right" readingOrder="0" vertical="bottom"/>
    </xf>
    <xf borderId="0" fillId="4" fontId="4" numFmtId="3" xfId="0" applyAlignment="1" applyFont="1" applyNumberFormat="1">
      <alignment vertical="bottom"/>
    </xf>
    <xf borderId="0" fillId="4" fontId="4" numFmtId="0" xfId="0" applyAlignment="1" applyFont="1">
      <alignment horizontal="right" readingOrder="0" vertical="bottom"/>
    </xf>
    <xf borderId="0" fillId="5" fontId="4" numFmtId="3" xfId="0" applyAlignment="1" applyFont="1" applyNumberFormat="1">
      <alignment vertical="bottom"/>
    </xf>
    <xf borderId="0" fillId="5" fontId="4" numFmtId="2" xfId="0" applyAlignment="1" applyFont="1" applyNumberFormat="1">
      <alignment horizontal="right" vertical="bottom"/>
    </xf>
    <xf borderId="13" fillId="0" fontId="4" numFmtId="2" xfId="0" applyAlignment="1" applyBorder="1" applyFont="1" applyNumberForma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13" fillId="0" fontId="4" numFmtId="3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horizontal="center" readingOrder="0" vertical="bottom"/>
    </xf>
    <xf borderId="0" fillId="4" fontId="11" numFmtId="0" xfId="0" applyAlignment="1" applyFont="1">
      <alignment horizontal="center" readingOrder="0" vertical="bottom"/>
    </xf>
    <xf borderId="0" fillId="4" fontId="4" numFmtId="2" xfId="0" applyAlignment="1" applyFont="1" applyNumberFormat="1">
      <alignment horizontal="right" vertical="bottom"/>
    </xf>
    <xf borderId="13" fillId="0" fontId="4" numFmtId="0" xfId="0" applyAlignment="1" applyBorder="1" applyFont="1">
      <alignment horizontal="center" vertical="bottom"/>
    </xf>
    <xf borderId="13" fillId="0" fontId="4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readingOrder="0" vertical="bottom"/>
    </xf>
    <xf borderId="13" fillId="0" fontId="4" numFmtId="9" xfId="0" applyAlignment="1" applyBorder="1" applyFont="1" applyNumberFormat="1">
      <alignment vertical="bottom"/>
    </xf>
    <xf borderId="13" fillId="0" fontId="4" numFmtId="9" xfId="0" applyAlignment="1" applyBorder="1" applyFont="1" applyNumberFormat="1">
      <alignment horizontal="center" readingOrder="0" vertical="bottom"/>
    </xf>
    <xf borderId="13" fillId="0" fontId="2" numFmtId="0" xfId="0" applyBorder="1" applyFont="1"/>
    <xf borderId="13" fillId="0" fontId="2" numFmtId="0" xfId="0" applyAlignment="1" applyBorder="1" applyFont="1">
      <alignment horizontal="center"/>
    </xf>
    <xf borderId="0" fillId="0" fontId="2" numFmtId="3" xfId="0" applyAlignment="1" applyFont="1" applyNumberFormat="1">
      <alignment horizontal="left" readingOrder="0"/>
    </xf>
    <xf borderId="13" fillId="0" fontId="5" numFmtId="3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2" numFmtId="3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13" fillId="0" fontId="13" numFmtId="4" xfId="0" applyAlignment="1" applyBorder="1" applyFont="1" applyNumberFormat="1">
      <alignment horizontal="center" readingOrder="0"/>
    </xf>
    <xf borderId="0" fillId="0" fontId="14" numFmtId="0" xfId="0" applyAlignment="1" applyFont="1">
      <alignment horizontal="left" readingOrder="0"/>
    </xf>
    <xf borderId="14" fillId="0" fontId="13" numFmtId="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2" xfId="0" applyAlignment="1" applyFont="1" applyNumberFormat="1">
      <alignment vertical="bottom"/>
    </xf>
    <xf borderId="0" fillId="0" fontId="5" numFmtId="9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6" numFmtId="3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center" readingOrder="0"/>
    </xf>
    <xf borderId="15" fillId="0" fontId="1" numFmtId="3" xfId="0" applyAlignment="1" applyBorder="1" applyFont="1" applyNumberFormat="1">
      <alignment horizontal="center" readingOrder="0"/>
    </xf>
    <xf borderId="16" fillId="0" fontId="6" numFmtId="0" xfId="0" applyBorder="1" applyFont="1"/>
    <xf borderId="17" fillId="0" fontId="6" numFmtId="0" xfId="0" applyBorder="1" applyFont="1"/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6" fillId="0" fontId="3" numFmtId="0" xfId="0" applyAlignment="1" applyBorder="1" applyFont="1">
      <alignment horizontal="center" readingOrder="0" vertical="bottom"/>
    </xf>
    <xf borderId="17" fillId="0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18" fillId="0" fontId="1" numFmtId="3" xfId="0" applyAlignment="1" applyBorder="1" applyFont="1" applyNumberFormat="1">
      <alignment horizontal="center" readingOrder="0"/>
    </xf>
    <xf borderId="19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8" fillId="0" fontId="2" numFmtId="0" xfId="0" applyAlignment="1" applyBorder="1" applyFont="1">
      <alignment horizontal="center" readingOrder="0"/>
    </xf>
    <xf borderId="19" fillId="0" fontId="2" numFmtId="3" xfId="0" applyAlignment="1" applyBorder="1" applyFont="1" applyNumberFormat="1">
      <alignment horizontal="right" readingOrder="0"/>
    </xf>
    <xf borderId="0" fillId="0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right" readingOrder="0"/>
    </xf>
    <xf borderId="18" fillId="0" fontId="2" numFmtId="4" xfId="0" applyAlignment="1" applyBorder="1" applyFont="1" applyNumberFormat="1">
      <alignment horizontal="center" readingOrder="0"/>
    </xf>
    <xf borderId="19" fillId="0" fontId="2" numFmtId="4" xfId="0" applyAlignment="1" applyBorder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19" fillId="0" fontId="2" numFmtId="0" xfId="0" applyAlignment="1" applyBorder="1" applyFont="1">
      <alignment horizontal="right"/>
    </xf>
    <xf borderId="0" fillId="0" fontId="2" numFmtId="3" xfId="0" applyAlignment="1" applyFont="1" applyNumberFormat="1">
      <alignment horizontal="right" readingOrder="0"/>
    </xf>
    <xf borderId="19" fillId="0" fontId="2" numFmtId="3" xfId="0" applyAlignment="1" applyBorder="1" applyFont="1" applyNumberFormat="1">
      <alignment horizontal="right"/>
    </xf>
    <xf borderId="0" fillId="0" fontId="2" numFmtId="10" xfId="0" applyFont="1" applyNumberFormat="1"/>
    <xf borderId="0" fillId="0" fontId="2" numFmtId="0" xfId="0" applyAlignment="1" applyFont="1">
      <alignment horizontal="right" readingOrder="0"/>
    </xf>
    <xf borderId="20" fillId="0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left" readingOrder="0"/>
    </xf>
    <xf borderId="21" fillId="0" fontId="2" numFmtId="0" xfId="0" applyAlignment="1" applyBorder="1" applyFont="1">
      <alignment horizontal="center" readingOrder="0"/>
    </xf>
    <xf borderId="22" fillId="0" fontId="2" numFmtId="3" xfId="0" applyAlignment="1" applyBorder="1" applyFont="1" applyNumberFormat="1">
      <alignment horizontal="right"/>
    </xf>
    <xf borderId="21" fillId="0" fontId="2" numFmtId="4" xfId="0" applyAlignment="1" applyBorder="1" applyFont="1" applyNumberFormat="1">
      <alignment horizontal="center" readingOrder="0"/>
    </xf>
    <xf borderId="21" fillId="0" fontId="2" numFmtId="3" xfId="0" applyAlignment="1" applyBorder="1" applyFont="1" applyNumberFormat="1">
      <alignment horizontal="right" readingOrder="0"/>
    </xf>
    <xf borderId="21" fillId="0" fontId="2" numFmtId="0" xfId="0" applyAlignment="1" applyBorder="1" applyFont="1">
      <alignment horizontal="right" readingOrder="0"/>
    </xf>
    <xf borderId="21" fillId="0" fontId="2" numFmtId="4" xfId="0" applyAlignment="1" applyBorder="1" applyFont="1" applyNumberFormat="1">
      <alignment horizontal="right" readingOrder="0"/>
    </xf>
    <xf borderId="20" fillId="0" fontId="2" numFmtId="4" xfId="0" applyAlignment="1" applyBorder="1" applyFont="1" applyNumberFormat="1">
      <alignment horizontal="center" readingOrder="0"/>
    </xf>
    <xf borderId="22" fillId="0" fontId="2" numFmtId="4" xfId="0" applyAlignment="1" applyBorder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67" xfId="0" applyFont="1" applyNumberFormat="1"/>
    <xf borderId="0" fillId="0" fontId="2" numFmtId="3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2" numFmtId="166" xfId="0" applyAlignment="1" applyFont="1" applyNumberFormat="1">
      <alignment horizontal="center" readingOrder="0"/>
    </xf>
    <xf borderId="0" fillId="0" fontId="2" numFmtId="9" xfId="0" applyAlignment="1" applyFont="1" applyNumberFormat="1">
      <alignment readingOrder="0"/>
    </xf>
    <xf borderId="0" fillId="0" fontId="4" numFmtId="4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17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4" numFmtId="168" xfId="0" applyAlignment="1" applyFont="1" applyNumberFormat="1">
      <alignment vertical="bottom"/>
    </xf>
    <xf borderId="0" fillId="0" fontId="4" numFmtId="10" xfId="0" applyAlignment="1" applyFont="1" applyNumberFormat="1">
      <alignment vertical="bottom"/>
    </xf>
    <xf borderId="0" fillId="0" fontId="2" numFmtId="169" xfId="0" applyFont="1" applyNumberFormat="1"/>
    <xf borderId="0" fillId="0" fontId="2" numFmtId="170" xfId="0" applyFont="1" applyNumberFormat="1"/>
    <xf borderId="0" fillId="0" fontId="2" numFmtId="2" xfId="0" applyAlignment="1" applyFont="1" applyNumberFormat="1">
      <alignment horizontal="left" readingOrder="0"/>
    </xf>
    <xf borderId="0" fillId="0" fontId="2" numFmtId="168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18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4" fontId="2" numFmtId="2" xfId="0" applyFont="1" applyNumberFormat="1"/>
    <xf borderId="0" fillId="7" fontId="1" numFmtId="0" xfId="0" applyAlignment="1" applyFill="1" applyFont="1">
      <alignment readingOrder="0"/>
    </xf>
    <xf borderId="0" fillId="7" fontId="2" numFmtId="4" xfId="0" applyFont="1" applyNumberFormat="1"/>
    <xf borderId="0" fillId="4" fontId="1" numFmtId="2" xfId="0" applyFont="1" applyNumberFormat="1"/>
    <xf borderId="0" fillId="0" fontId="2" numFmtId="171" xfId="0" applyFont="1" applyNumberFormat="1"/>
    <xf borderId="0" fillId="7" fontId="2" numFmtId="3" xfId="0" applyFont="1" applyNumberFormat="1"/>
    <xf borderId="0" fillId="4" fontId="1" numFmtId="3" xfId="0" applyFont="1" applyNumberFormat="1"/>
    <xf borderId="0" fillId="7" fontId="2" numFmtId="10" xfId="0" applyFont="1" applyNumberFormat="1"/>
    <xf borderId="0" fillId="4" fontId="2" numFmtId="10" xfId="0" applyFont="1" applyNumberFormat="1"/>
    <xf borderId="0" fillId="7" fontId="2" numFmtId="165" xfId="0" applyFont="1" applyNumberFormat="1"/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0" fontId="2" numFmtId="3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2" numFmtId="172" xfId="0" applyFont="1" applyNumberFormat="1"/>
    <xf borderId="0" fillId="3" fontId="3" numFmtId="0" xfId="0" applyAlignment="1" applyFont="1">
      <alignment horizontal="center" readingOrder="0" vertical="bottom"/>
    </xf>
    <xf borderId="0" fillId="8" fontId="3" numFmtId="0" xfId="0" applyAlignment="1" applyFill="1" applyFont="1">
      <alignment horizontal="center" readingOrder="0" vertical="bottom"/>
    </xf>
    <xf borderId="0" fillId="9" fontId="3" numFmtId="0" xfId="0" applyAlignment="1" applyFill="1" applyFont="1">
      <alignment horizontal="center" readingOrder="0" vertical="bottom"/>
    </xf>
    <xf borderId="0" fillId="10" fontId="19" numFmtId="0" xfId="0" applyAlignment="1" applyFill="1" applyFont="1">
      <alignment horizontal="center" readingOrder="0" vertical="bottom"/>
    </xf>
    <xf borderId="0" fillId="0" fontId="4" numFmtId="173" xfId="0" applyAlignment="1" applyFont="1" applyNumberFormat="1">
      <alignment vertical="bottom"/>
    </xf>
    <xf borderId="0" fillId="0" fontId="20" numFmtId="173" xfId="0" applyAlignment="1" applyFont="1" applyNumberFormat="1">
      <alignment horizontal="right" vertical="bottom"/>
    </xf>
    <xf borderId="0" fillId="0" fontId="20" numFmtId="9" xfId="0" applyAlignment="1" applyFont="1" applyNumberFormat="1">
      <alignment horizontal="right" readingOrder="0" vertical="bottom"/>
    </xf>
    <xf borderId="0" fillId="0" fontId="20" numFmtId="9" xfId="0" applyAlignment="1" applyFont="1" applyNumberFormat="1">
      <alignment horizontal="right" vertical="bottom"/>
    </xf>
    <xf borderId="0" fillId="0" fontId="4" numFmtId="172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172" xfId="0" applyAlignment="1" applyFont="1" applyNumberFormat="1">
      <alignment horizontal="right" vertical="bottom"/>
    </xf>
    <xf borderId="0" fillId="0" fontId="20" numFmtId="0" xfId="0" applyAlignment="1" applyFont="1">
      <alignment horizontal="right" readingOrder="0" vertical="bottom"/>
    </xf>
    <xf borderId="0" fillId="0" fontId="4" numFmtId="173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73" xfId="0" applyFont="1" applyNumberFormat="1"/>
    <xf borderId="0" fillId="0" fontId="2" numFmtId="172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2" numFmtId="175" xfId="0" applyFont="1" applyNumberForma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7">
    <tableStyle count="3" pivot="0" name="Model-style">
      <tableStyleElement dxfId="1" type="headerRow"/>
      <tableStyleElement dxfId="2" type="firstRowStripe"/>
      <tableStyleElement dxfId="3" type="secondRowStripe"/>
    </tableStyle>
    <tableStyle count="3" pivot="0" name="Model-style 2">
      <tableStyleElement dxfId="4" type="headerRow"/>
      <tableStyleElement dxfId="2" type="firstRowStripe"/>
      <tableStyleElement dxfId="5" type="secondRowStripe"/>
    </tableStyle>
    <tableStyle count="3" pivot="0" name="Model-style 3">
      <tableStyleElement dxfId="6" type="headerRow"/>
      <tableStyleElement dxfId="2" type="firstRowStripe"/>
      <tableStyleElement dxfId="7" type="secondRowStripe"/>
    </tableStyle>
    <tableStyle count="3" pivot="0" name="Nvidia-style">
      <tableStyleElement dxfId="11" type="headerRow"/>
      <tableStyleElement dxfId="2" type="firstRowStripe"/>
      <tableStyleElement dxfId="12" type="secondRowStripe"/>
    </tableStyle>
    <tableStyle count="3" pivot="0" name="Nvidia-style 2">
      <tableStyleElement dxfId="6" type="headerRow"/>
      <tableStyleElement dxfId="2" type="firstRowStripe"/>
      <tableStyleElement dxfId="7" type="secondRowStripe"/>
    </tableStyle>
    <tableStyle count="3" pivot="0" name="Nvidia-style 3">
      <tableStyleElement dxfId="6" type="headerRow"/>
      <tableStyleElement dxfId="2" type="firstRowStripe"/>
      <tableStyleElement dxfId="7" type="secondRowStripe"/>
    </tableStyle>
    <tableStyle count="3" pivot="0" name="TCO model-style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Nvidia!$A$207:$L$207</c:f>
            </c:numRef>
          </c:xVal>
          <c:yVal>
            <c:numRef>
              <c:f>Nvidia!$A$208:$L$208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01794"/>
        <c:axId val="1619826531"/>
      </c:scatterChart>
      <c:valAx>
        <c:axId val="2954017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826531"/>
      </c:valAx>
      <c:valAx>
        <c:axId val="161982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401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Nvidia!$A$187:$L$187</c:f>
            </c:numRef>
          </c:xVal>
          <c:yVal>
            <c:numRef>
              <c:f>Nvidia!$A$188:$L$188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740540"/>
        <c:axId val="428226157"/>
      </c:scatterChart>
      <c:valAx>
        <c:axId val="13827405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226157"/>
      </c:valAx>
      <c:valAx>
        <c:axId val="428226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740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Nvidia!$A$168:$L$168</c:f>
            </c:numRef>
          </c:xVal>
          <c:yVal>
            <c:numRef>
              <c:f>Nvidia!$A$169:$L$169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715590"/>
        <c:axId val="465283508"/>
      </c:scatterChart>
      <c:valAx>
        <c:axId val="1873715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283508"/>
      </c:valAx>
      <c:valAx>
        <c:axId val="465283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715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Nvidia!$A$151:$L$151</c:f>
            </c:numRef>
          </c:xVal>
          <c:yVal>
            <c:numRef>
              <c:f>Nvidia!$A$152:$L$152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19983"/>
        <c:axId val="933920716"/>
      </c:scatterChart>
      <c:valAx>
        <c:axId val="5333199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920716"/>
      </c:valAx>
      <c:valAx>
        <c:axId val="933920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319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Rubin and CPX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Nvidia!$X$122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Nvidia!$W$123:$W$175</c:f>
            </c:numRef>
          </c:xVal>
          <c:yVal>
            <c:numRef>
              <c:f>Nvidia!$X$123:$X$175</c:f>
              <c:numCache/>
            </c:numRef>
          </c:yVal>
        </c:ser>
        <c:ser>
          <c:idx val="1"/>
          <c:order val="1"/>
          <c:tx>
            <c:strRef>
              <c:f>Nvidia!$Y$122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Nvidia!$W$123:$W$175</c:f>
            </c:numRef>
          </c:xVal>
          <c:yVal>
            <c:numRef>
              <c:f>Nvidia!$Y$123:$Y$175</c:f>
              <c:numCache/>
            </c:numRef>
          </c:yVal>
        </c:ser>
        <c:ser>
          <c:idx val="2"/>
          <c:order val="2"/>
          <c:tx>
            <c:strRef>
              <c:f>Nvidia!$Z$122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Nvidia!$W$123:$W$175</c:f>
            </c:numRef>
          </c:xVal>
          <c:yVal>
            <c:numRef>
              <c:f>Nvidia!$Z$123:$Z$175</c:f>
              <c:numCache/>
            </c:numRef>
          </c:yVal>
        </c:ser>
        <c:ser>
          <c:idx val="3"/>
          <c:order val="3"/>
          <c:tx>
            <c:strRef>
              <c:f>Nvidia!$AA$122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Nvidia!$W$123:$W$175</c:f>
            </c:numRef>
          </c:xVal>
          <c:yVal>
            <c:numRef>
              <c:f>Nvidia!$AA$123:$AA$175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718177"/>
        <c:axId val="281655494"/>
      </c:scatterChart>
      <c:valAx>
        <c:axId val="1499718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655494"/>
      </c:valAx>
      <c:valAx>
        <c:axId val="281655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718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Nvidia!$A$134:$L$134</c:f>
            </c:numRef>
          </c:xVal>
          <c:yVal>
            <c:numRef>
              <c:f>Nvidia!$A$135:$L$135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31632"/>
        <c:axId val="1528065905"/>
      </c:scatterChart>
      <c:valAx>
        <c:axId val="17337316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065905"/>
      </c:valAx>
      <c:valAx>
        <c:axId val="1528065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31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533400</xdr:colOff>
      <xdr:row>197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177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819150</xdr:colOff>
      <xdr:row>160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904875</xdr:colOff>
      <xdr:row>141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809625</xdr:colOff>
      <xdr:row>124</xdr:row>
      <xdr:rowOff>171450</xdr:rowOff>
    </xdr:from>
    <xdr:ext cx="8248650" cy="5105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666750</xdr:colOff>
      <xdr:row>123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6" displayName="Table_1" name="Table_1" id="1">
  <tableColumns count="2">
    <tableColumn name="model" id="1"/>
    <tableColumn name="671B" id="2"/>
  </tableColumns>
  <tableStyleInfo name="Model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B20" displayName="Table_2" name="Table_2" id="2">
  <tableColumns count="2">
    <tableColumn name="Column1" id="1"/>
    <tableColumn name="Column2" id="2"/>
  </tableColumns>
  <tableStyleInfo name="Mode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3:J5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ode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N20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Nvid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2:C30" displayName="Table_5" name="Table_5" id="5">
  <tableColumns count="3">
    <tableColumn name="Column1" id="1"/>
    <tableColumn name="Column2" id="2"/>
    <tableColumn name="Column3" id="3"/>
  </tableColumns>
  <tableStyleInfo name="Nvidi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3:O59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Nvidi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C2:M2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CO mod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eepseek-ai/DeepSeek-V3/blob/main/inference/configs/config_671B.json" TargetMode="External"/><Relationship Id="rId2" Type="http://schemas.openxmlformats.org/officeDocument/2006/relationships/hyperlink" Target="https://github.com/deepseek-ai/DeepSeek-V3/blob/main/inference/configs/config_236B.json" TargetMode="External"/><Relationship Id="rId3" Type="http://schemas.openxmlformats.org/officeDocument/2006/relationships/hyperlink" Target="https://github.com/deepseek-ai/DeepSeek-V3/blob/main/inference/configs/config_16B.json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NVIDIA/TensorRT-LLM/blob/main/docs/source/blogs/tech_blog/blog1_Pushing_Latency_Boundaries_Optimizing_DeepSeek-R1_Performance_on_NVIDIA_B200_GPUs.md" TargetMode="External"/><Relationship Id="rId2" Type="http://schemas.openxmlformats.org/officeDocument/2006/relationships/drawing" Target="../drawings/drawing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88"/>
    <col customWidth="1" min="8" max="8" width="14.88"/>
    <col customWidth="1" min="14" max="14" width="14.63"/>
  </cols>
  <sheetData>
    <row r="1">
      <c r="A1" s="1" t="s">
        <v>0</v>
      </c>
      <c r="B1" s="2" t="s">
        <v>1</v>
      </c>
      <c r="C1" s="3">
        <f>match(B1,'DeepSeekV3 config'!C1:E1,0)+1</f>
        <v>2</v>
      </c>
      <c r="D1" s="4"/>
      <c r="E1" s="4"/>
      <c r="F1" s="5" t="s">
        <v>2</v>
      </c>
      <c r="G1" s="6" t="s">
        <v>3</v>
      </c>
      <c r="H1" s="6" t="s">
        <v>4</v>
      </c>
      <c r="I1" s="6" t="s">
        <v>5</v>
      </c>
      <c r="J1" s="6" t="s">
        <v>6</v>
      </c>
    </row>
    <row r="2">
      <c r="A2" s="2" t="s">
        <v>7</v>
      </c>
      <c r="B2" s="7">
        <f>vlookup(A2,'DeepSeekV3 config'!$B$1:$E$22,$C$1,0)</f>
        <v>129280</v>
      </c>
      <c r="D2" s="4"/>
      <c r="F2" s="8" t="s">
        <v>8</v>
      </c>
      <c r="G2" s="9">
        <v>4.0</v>
      </c>
      <c r="H2" s="10">
        <v>16.0</v>
      </c>
      <c r="I2" s="9">
        <v>8.0</v>
      </c>
      <c r="J2" s="9">
        <f t="shared" ref="J2:J5" si="1">(G2*H2+I2)/H2</f>
        <v>4.5</v>
      </c>
    </row>
    <row r="3">
      <c r="A3" s="2" t="s">
        <v>9</v>
      </c>
      <c r="B3" s="7">
        <f>vlookup(A3,'DeepSeekV3 config'!$B$1:$E$22,$C$1,0)</f>
        <v>7168</v>
      </c>
      <c r="D3" s="4"/>
      <c r="F3" s="8" t="s">
        <v>10</v>
      </c>
      <c r="G3" s="9">
        <v>8.0</v>
      </c>
      <c r="H3" s="9">
        <v>32.0</v>
      </c>
      <c r="I3" s="9">
        <v>8.0</v>
      </c>
      <c r="J3" s="9">
        <f t="shared" si="1"/>
        <v>8.25</v>
      </c>
    </row>
    <row r="4">
      <c r="A4" s="11" t="s">
        <v>11</v>
      </c>
      <c r="B4" s="7">
        <f>vlookup(A4,'DeepSeekV3 config'!$B$1:$E$22,$C$1,0)</f>
        <v>1536</v>
      </c>
      <c r="D4" s="4"/>
      <c r="E4" s="4"/>
      <c r="F4" s="8" t="s">
        <v>12</v>
      </c>
      <c r="G4" s="9">
        <v>8.0</v>
      </c>
      <c r="H4" s="9">
        <v>32.0</v>
      </c>
      <c r="I4" s="10">
        <v>0.0</v>
      </c>
      <c r="J4" s="9">
        <f t="shared" si="1"/>
        <v>8</v>
      </c>
    </row>
    <row r="5">
      <c r="A5" s="2" t="s">
        <v>13</v>
      </c>
      <c r="B5" s="7">
        <f>vlookup(A5,'DeepSeekV3 config'!$B$1:$E$22,$C$1,0)</f>
        <v>128</v>
      </c>
      <c r="D5" s="4"/>
      <c r="E5" s="4"/>
      <c r="F5" s="12" t="s">
        <v>14</v>
      </c>
      <c r="G5" s="9">
        <v>16.0</v>
      </c>
      <c r="H5" s="9">
        <v>1.0</v>
      </c>
      <c r="I5" s="9">
        <v>0.0</v>
      </c>
      <c r="J5" s="9">
        <f t="shared" si="1"/>
        <v>16</v>
      </c>
    </row>
    <row r="6">
      <c r="A6" s="2" t="s">
        <v>15</v>
      </c>
      <c r="B6" s="7">
        <f>vlookup(A6,'DeepSeekV3 config'!$B$1:$E$22,$C$1,0)</f>
        <v>192</v>
      </c>
      <c r="D6" s="4"/>
      <c r="E6" s="4"/>
      <c r="F6" s="4"/>
      <c r="H6" s="4"/>
      <c r="I6" s="4"/>
    </row>
    <row r="7">
      <c r="A7" s="2" t="s">
        <v>16</v>
      </c>
      <c r="B7" s="7">
        <f>vlookup(A7,'DeepSeekV3 config'!$B$1:$E$22,$C$1,0)</f>
        <v>64</v>
      </c>
      <c r="D7" s="4"/>
      <c r="E7" s="4"/>
      <c r="F7" s="4"/>
      <c r="H7" s="4"/>
      <c r="I7" s="4"/>
    </row>
    <row r="8">
      <c r="A8" s="2" t="s">
        <v>17</v>
      </c>
      <c r="B8" s="7">
        <f>vlookup(A8,'DeepSeekV3 config'!$B$1:$E$22,$C$1,0)</f>
        <v>512</v>
      </c>
      <c r="D8" s="4"/>
      <c r="E8" s="4"/>
      <c r="F8" s="4"/>
      <c r="H8" s="4"/>
      <c r="I8" s="4"/>
    </row>
    <row r="9">
      <c r="A9" s="2" t="s">
        <v>18</v>
      </c>
      <c r="B9" s="7">
        <f>vlookup(A9,'DeepSeekV3 config'!$B$1:$E$22,$C$1,0)</f>
        <v>128</v>
      </c>
      <c r="D9" s="4"/>
      <c r="E9" s="4"/>
      <c r="F9" s="4"/>
      <c r="H9" s="4"/>
      <c r="I9" s="4"/>
    </row>
    <row r="10">
      <c r="A10" s="11" t="s">
        <v>19</v>
      </c>
      <c r="B10" s="7">
        <f>vlookup(A10,'DeepSeekV3 config'!$B$1:$E$22,$C$1,0)</f>
        <v>18432</v>
      </c>
      <c r="D10" s="4"/>
      <c r="E10" s="13"/>
      <c r="F10" s="4"/>
      <c r="H10" s="4"/>
      <c r="I10" s="4"/>
    </row>
    <row r="11">
      <c r="A11" s="11" t="s">
        <v>20</v>
      </c>
      <c r="B11" s="7">
        <f>vlookup(A11,'DeepSeekV3 config'!$B$1:$E$22,$C$1,0)</f>
        <v>2048</v>
      </c>
      <c r="D11" s="4"/>
      <c r="E11" s="4"/>
      <c r="F11" s="4"/>
      <c r="H11" s="4"/>
      <c r="I11" s="4"/>
    </row>
    <row r="12">
      <c r="A12" s="2" t="s">
        <v>21</v>
      </c>
      <c r="B12" s="7">
        <f>vlookup(A12,'DeepSeekV3 config'!$B$1:$E$22,$C$1,0)</f>
        <v>256</v>
      </c>
      <c r="D12" s="4"/>
      <c r="E12" s="4"/>
      <c r="F12" s="4"/>
      <c r="H12" s="4"/>
      <c r="I12" s="4"/>
    </row>
    <row r="13">
      <c r="A13" s="11" t="s">
        <v>22</v>
      </c>
      <c r="B13" s="7">
        <f>vlookup(A13,'DeepSeekV3 config'!$B$1:$E$22,$C$1,0)</f>
        <v>1</v>
      </c>
      <c r="D13" s="4"/>
      <c r="E13" s="4"/>
      <c r="F13" s="4"/>
      <c r="H13" s="4"/>
      <c r="I13" s="4"/>
    </row>
    <row r="14">
      <c r="A14" s="11" t="s">
        <v>23</v>
      </c>
      <c r="B14" s="7">
        <f>vlookup(A14,'DeepSeekV3 config'!$B$1:$E$22,$C$1,0)</f>
        <v>8</v>
      </c>
      <c r="D14" s="4"/>
      <c r="E14" s="4"/>
      <c r="F14" s="4"/>
      <c r="H14" s="4"/>
      <c r="I14" s="4"/>
    </row>
    <row r="15">
      <c r="A15" s="2" t="s">
        <v>24</v>
      </c>
      <c r="B15" s="7">
        <f>vlookup(A15,'DeepSeekV3 config'!$B$1:$E$22,$C$1,0)</f>
        <v>61</v>
      </c>
      <c r="D15" s="4"/>
      <c r="E15" s="4"/>
      <c r="F15" s="4"/>
      <c r="H15" s="4"/>
      <c r="I15" s="4"/>
    </row>
    <row r="16">
      <c r="A16" s="11" t="s">
        <v>25</v>
      </c>
      <c r="B16" s="7">
        <f>vlookup(A16,'DeepSeekV3 config'!$B$1:$E$22,$C$1,0)</f>
        <v>3</v>
      </c>
      <c r="D16" s="4"/>
      <c r="E16" s="4"/>
      <c r="F16" s="4"/>
      <c r="G16" s="14"/>
      <c r="H16" s="15"/>
      <c r="I16" s="4"/>
    </row>
    <row r="17">
      <c r="B17" s="16"/>
      <c r="D17" s="4"/>
      <c r="E17" s="4"/>
      <c r="F17" s="4"/>
      <c r="H17" s="4"/>
      <c r="I17" s="4"/>
    </row>
    <row r="18">
      <c r="A18" s="1" t="s">
        <v>26</v>
      </c>
      <c r="B18" s="17"/>
      <c r="D18" s="4"/>
      <c r="E18" s="4"/>
      <c r="F18" s="4"/>
      <c r="H18" s="4"/>
      <c r="I18" s="4"/>
    </row>
    <row r="19">
      <c r="A19" s="18" t="s">
        <v>27</v>
      </c>
      <c r="B19" s="19">
        <v>1000.0</v>
      </c>
      <c r="D19" s="4"/>
      <c r="E19" s="4"/>
      <c r="F19" s="4"/>
      <c r="H19" s="4"/>
      <c r="I19" s="4"/>
    </row>
    <row r="20">
      <c r="A20" s="18" t="s">
        <v>28</v>
      </c>
      <c r="B20" s="19">
        <v>1.0</v>
      </c>
      <c r="D20" s="4"/>
      <c r="E20" s="4"/>
      <c r="F20" s="4"/>
      <c r="H20" s="4"/>
      <c r="I20" s="4"/>
    </row>
    <row r="21">
      <c r="D21" s="4"/>
      <c r="E21" s="4"/>
      <c r="F21" s="4"/>
      <c r="H21" s="4"/>
      <c r="I21" s="4"/>
    </row>
    <row r="22">
      <c r="A22" s="20"/>
      <c r="B22" s="20"/>
      <c r="C22" s="20"/>
      <c r="D22" s="21"/>
      <c r="E22" s="22" t="s">
        <v>29</v>
      </c>
      <c r="F22" s="23"/>
      <c r="G22" s="22" t="str">
        <f>"batch_size=" &amp; B20</f>
        <v>batch_size=1</v>
      </c>
      <c r="H22" s="24"/>
      <c r="I22" s="24"/>
      <c r="J22" s="23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5"/>
      <c r="B23" s="26"/>
      <c r="C23" s="27" t="s">
        <v>30</v>
      </c>
      <c r="D23" s="28" t="s">
        <v>31</v>
      </c>
      <c r="E23" s="29" t="s">
        <v>32</v>
      </c>
      <c r="F23" s="30" t="s">
        <v>33</v>
      </c>
      <c r="G23" s="28" t="s">
        <v>32</v>
      </c>
      <c r="H23" s="28" t="s">
        <v>33</v>
      </c>
      <c r="I23" s="28" t="s">
        <v>34</v>
      </c>
      <c r="J23" s="30" t="s">
        <v>35</v>
      </c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 t="s">
        <v>36</v>
      </c>
      <c r="B24" s="34" t="s">
        <v>37</v>
      </c>
      <c r="C24" s="35" t="s">
        <v>14</v>
      </c>
      <c r="D24" s="36">
        <f>B2*B3</f>
        <v>926679040</v>
      </c>
      <c r="E24" s="37">
        <f>B3</f>
        <v>7168</v>
      </c>
      <c r="F24" s="38">
        <f>B3</f>
        <v>7168</v>
      </c>
      <c r="G24" s="36">
        <f t="shared" ref="G24:H24" si="2">E24*$B$20</f>
        <v>7168</v>
      </c>
      <c r="H24" s="36">
        <f t="shared" si="2"/>
        <v>7168</v>
      </c>
      <c r="I24" s="39">
        <f t="shared" ref="I24:I50" si="4">vlookup(C24, $F$1:$J$5, 5, 0)*D24/8/2^20</f>
        <v>1767.5</v>
      </c>
      <c r="J24" s="40">
        <f t="shared" ref="J24:J50" si="5">vlookup(C24, $F$1:$J$5, 5, 0)*H24/8/2^20</f>
        <v>0.013671875</v>
      </c>
    </row>
    <row r="25">
      <c r="A25" s="35" t="s">
        <v>36</v>
      </c>
      <c r="B25" s="41" t="s">
        <v>38</v>
      </c>
      <c r="C25" s="35" t="s">
        <v>14</v>
      </c>
      <c r="D25" s="42"/>
      <c r="E25" s="37">
        <f>2*F24</f>
        <v>14336</v>
      </c>
      <c r="F25" s="38">
        <f t="shared" ref="F25:F26" si="6">F24</f>
        <v>7168</v>
      </c>
      <c r="G25" s="36">
        <f t="shared" ref="G25:H25" si="3">E25*$B$20</f>
        <v>14336</v>
      </c>
      <c r="H25" s="36">
        <f t="shared" si="3"/>
        <v>7168</v>
      </c>
      <c r="I25" s="39">
        <f t="shared" si="4"/>
        <v>0</v>
      </c>
      <c r="J25" s="40">
        <f t="shared" si="5"/>
        <v>0.013671875</v>
      </c>
    </row>
    <row r="26">
      <c r="A26" s="35" t="s">
        <v>39</v>
      </c>
      <c r="B26" s="41" t="s">
        <v>40</v>
      </c>
      <c r="C26" s="43" t="s">
        <v>12</v>
      </c>
      <c r="D26" s="44"/>
      <c r="E26" s="37">
        <f>3*(F25+1)</f>
        <v>21507</v>
      </c>
      <c r="F26" s="38">
        <f t="shared" si="6"/>
        <v>7168</v>
      </c>
      <c r="G26" s="36">
        <f t="shared" ref="G26:H26" si="7">E26*$B$20</f>
        <v>21507</v>
      </c>
      <c r="H26" s="36">
        <f t="shared" si="7"/>
        <v>7168</v>
      </c>
      <c r="I26" s="39">
        <f t="shared" si="4"/>
        <v>0</v>
      </c>
      <c r="J26" s="40">
        <f t="shared" si="5"/>
        <v>0.0068359375</v>
      </c>
    </row>
    <row r="27">
      <c r="A27" s="35" t="s">
        <v>39</v>
      </c>
      <c r="B27" s="41" t="s">
        <v>41</v>
      </c>
      <c r="C27" s="43" t="s">
        <v>12</v>
      </c>
      <c r="D27" s="36">
        <f>B3*B4</f>
        <v>11010048</v>
      </c>
      <c r="E27" s="37">
        <f>D27*2</f>
        <v>22020096</v>
      </c>
      <c r="F27" s="38">
        <f>B4</f>
        <v>1536</v>
      </c>
      <c r="G27" s="36">
        <f t="shared" ref="G27:H27" si="8">E27*$B$20</f>
        <v>22020096</v>
      </c>
      <c r="H27" s="36">
        <f t="shared" si="8"/>
        <v>1536</v>
      </c>
      <c r="I27" s="39">
        <f t="shared" si="4"/>
        <v>10.5</v>
      </c>
      <c r="J27" s="40">
        <f t="shared" si="5"/>
        <v>0.00146484375</v>
      </c>
      <c r="L27" s="4"/>
      <c r="M27" s="4"/>
      <c r="N27" s="4"/>
    </row>
    <row r="28">
      <c r="A28" s="35" t="s">
        <v>39</v>
      </c>
      <c r="B28" s="41" t="s">
        <v>42</v>
      </c>
      <c r="C28" s="43" t="s">
        <v>12</v>
      </c>
      <c r="D28" s="44"/>
      <c r="E28" s="37">
        <f>3*(F27+1)</f>
        <v>4611</v>
      </c>
      <c r="F28" s="38">
        <f>F27</f>
        <v>1536</v>
      </c>
      <c r="G28" s="36">
        <f t="shared" ref="G28:H28" si="9">E28*$B$20</f>
        <v>4611</v>
      </c>
      <c r="H28" s="36">
        <f t="shared" si="9"/>
        <v>1536</v>
      </c>
      <c r="I28" s="39">
        <f t="shared" si="4"/>
        <v>0</v>
      </c>
      <c r="J28" s="40">
        <f t="shared" si="5"/>
        <v>0.00146484375</v>
      </c>
      <c r="L28" s="4"/>
      <c r="M28" s="4"/>
    </row>
    <row r="29">
      <c r="A29" s="35" t="s">
        <v>39</v>
      </c>
      <c r="B29" s="41" t="s">
        <v>43</v>
      </c>
      <c r="C29" s="43" t="s">
        <v>12</v>
      </c>
      <c r="D29" s="36">
        <f>B4*B5*B6</f>
        <v>37748736</v>
      </c>
      <c r="E29" s="37">
        <f t="shared" ref="E29:E30" si="11">D29*2</f>
        <v>75497472</v>
      </c>
      <c r="F29" s="38">
        <f>B5*B6</f>
        <v>24576</v>
      </c>
      <c r="G29" s="36">
        <f t="shared" ref="G29:H29" si="10">E29*$B$20</f>
        <v>75497472</v>
      </c>
      <c r="H29" s="36">
        <f t="shared" si="10"/>
        <v>24576</v>
      </c>
      <c r="I29" s="39">
        <f t="shared" si="4"/>
        <v>36</v>
      </c>
      <c r="J29" s="40">
        <f t="shared" si="5"/>
        <v>0.0234375</v>
      </c>
      <c r="L29" s="4"/>
      <c r="M29" s="4"/>
    </row>
    <row r="30">
      <c r="A30" s="35" t="s">
        <v>39</v>
      </c>
      <c r="B30" s="41" t="s">
        <v>44</v>
      </c>
      <c r="C30" s="43" t="s">
        <v>12</v>
      </c>
      <c r="D30" s="36">
        <f>B3*(B7+B8)</f>
        <v>4128768</v>
      </c>
      <c r="E30" s="37">
        <f t="shared" si="11"/>
        <v>8257536</v>
      </c>
      <c r="F30" s="38">
        <f>B7+B8</f>
        <v>576</v>
      </c>
      <c r="G30" s="36">
        <f t="shared" ref="G30:H30" si="12">E30*$B$20</f>
        <v>8257536</v>
      </c>
      <c r="H30" s="36">
        <f t="shared" si="12"/>
        <v>576</v>
      </c>
      <c r="I30" s="39">
        <f t="shared" si="4"/>
        <v>3.9375</v>
      </c>
      <c r="J30" s="40">
        <f t="shared" si="5"/>
        <v>0.0005493164063</v>
      </c>
      <c r="L30" s="4"/>
      <c r="M30" s="4"/>
    </row>
    <row r="31">
      <c r="A31" s="35" t="s">
        <v>39</v>
      </c>
      <c r="B31" s="41" t="s">
        <v>45</v>
      </c>
      <c r="C31" s="43" t="s">
        <v>12</v>
      </c>
      <c r="D31" s="44"/>
      <c r="E31" s="37">
        <f>3*(F30+1)</f>
        <v>1731</v>
      </c>
      <c r="F31" s="38">
        <f>F30</f>
        <v>576</v>
      </c>
      <c r="G31" s="36">
        <f t="shared" ref="G31:H31" si="13">E31*$B$20</f>
        <v>1731</v>
      </c>
      <c r="H31" s="36">
        <f t="shared" si="13"/>
        <v>576</v>
      </c>
      <c r="I31" s="39">
        <f t="shared" si="4"/>
        <v>0</v>
      </c>
      <c r="J31" s="40">
        <f t="shared" si="5"/>
        <v>0.0005493164063</v>
      </c>
      <c r="L31" s="4"/>
      <c r="M31" s="4"/>
    </row>
    <row r="32">
      <c r="A32" s="35" t="s">
        <v>39</v>
      </c>
      <c r="B32" s="41" t="s">
        <v>46</v>
      </c>
      <c r="C32" s="43" t="s">
        <v>12</v>
      </c>
      <c r="D32" s="42"/>
      <c r="E32" s="45"/>
      <c r="F32" s="38">
        <f>B19*(B8+B7)</f>
        <v>576000</v>
      </c>
      <c r="G32" s="36">
        <f t="shared" ref="G32:H32" si="14">E32*$B$20</f>
        <v>0</v>
      </c>
      <c r="H32" s="36">
        <f t="shared" si="14"/>
        <v>576000</v>
      </c>
      <c r="I32" s="39">
        <f t="shared" si="4"/>
        <v>0</v>
      </c>
      <c r="J32" s="40">
        <f t="shared" si="5"/>
        <v>0.5493164063</v>
      </c>
      <c r="L32" s="4"/>
      <c r="M32" s="4"/>
    </row>
    <row r="33">
      <c r="A33" s="35" t="s">
        <v>39</v>
      </c>
      <c r="B33" s="41" t="s">
        <v>47</v>
      </c>
      <c r="C33" s="43" t="s">
        <v>12</v>
      </c>
      <c r="D33" s="42"/>
      <c r="E33" s="45"/>
      <c r="F33" s="38">
        <f>B19*B8</f>
        <v>512000</v>
      </c>
      <c r="G33" s="36">
        <f t="shared" ref="G33:H33" si="15">E33*$B$20</f>
        <v>0</v>
      </c>
      <c r="H33" s="36">
        <f t="shared" si="15"/>
        <v>512000</v>
      </c>
      <c r="I33" s="39">
        <f t="shared" si="4"/>
        <v>0</v>
      </c>
      <c r="J33" s="40">
        <f t="shared" si="5"/>
        <v>0.48828125</v>
      </c>
      <c r="L33" s="4"/>
      <c r="M33" s="4"/>
    </row>
    <row r="34">
      <c r="A34" s="35" t="s">
        <v>39</v>
      </c>
      <c r="B34" s="41" t="s">
        <v>48</v>
      </c>
      <c r="C34" s="43" t="s">
        <v>12</v>
      </c>
      <c r="D34" s="36">
        <f>B8*B5*(B6+B9-B7)</f>
        <v>16777216</v>
      </c>
      <c r="E34" s="37">
        <f>D34*2</f>
        <v>33554432</v>
      </c>
      <c r="F34" s="38">
        <f>B5*(B6+B9-B7)</f>
        <v>32768</v>
      </c>
      <c r="G34" s="36">
        <f t="shared" ref="G34:H34" si="16">E34*$B$20</f>
        <v>33554432</v>
      </c>
      <c r="H34" s="36">
        <f t="shared" si="16"/>
        <v>32768</v>
      </c>
      <c r="I34" s="39">
        <f t="shared" si="4"/>
        <v>16</v>
      </c>
      <c r="J34" s="40">
        <f t="shared" si="5"/>
        <v>0.03125</v>
      </c>
      <c r="L34" s="4"/>
      <c r="M34" s="4"/>
    </row>
    <row r="35">
      <c r="A35" s="35" t="s">
        <v>39</v>
      </c>
      <c r="B35" s="41" t="s">
        <v>49</v>
      </c>
      <c r="C35" s="43" t="s">
        <v>12</v>
      </c>
      <c r="D35" s="44"/>
      <c r="E35" s="37">
        <f>B5*F32*2</f>
        <v>147456000</v>
      </c>
      <c r="F35" s="38">
        <f>B19*B5</f>
        <v>128000</v>
      </c>
      <c r="G35" s="36">
        <f t="shared" ref="G35:H35" si="17">E35*$B$20</f>
        <v>147456000</v>
      </c>
      <c r="H35" s="36">
        <f t="shared" si="17"/>
        <v>128000</v>
      </c>
      <c r="I35" s="39">
        <f t="shared" si="4"/>
        <v>0</v>
      </c>
      <c r="J35" s="40">
        <f t="shared" si="5"/>
        <v>0.1220703125</v>
      </c>
      <c r="L35" s="4"/>
      <c r="M35" s="4"/>
    </row>
    <row r="36">
      <c r="A36" s="35" t="s">
        <v>39</v>
      </c>
      <c r="B36" s="41" t="s">
        <v>50</v>
      </c>
      <c r="C36" s="43" t="s">
        <v>12</v>
      </c>
      <c r="D36" s="44"/>
      <c r="E36" s="37">
        <f>B5*(8*B19+1)</f>
        <v>1024128</v>
      </c>
      <c r="F36" s="38">
        <f>F35</f>
        <v>128000</v>
      </c>
      <c r="G36" s="36">
        <f t="shared" ref="G36:H36" si="18">E36*$B$20</f>
        <v>1024128</v>
      </c>
      <c r="H36" s="36">
        <f t="shared" si="18"/>
        <v>128000</v>
      </c>
      <c r="I36" s="39">
        <f t="shared" si="4"/>
        <v>0</v>
      </c>
      <c r="J36" s="40">
        <f t="shared" si="5"/>
        <v>0.1220703125</v>
      </c>
      <c r="L36" s="4"/>
      <c r="M36" s="4"/>
    </row>
    <row r="37">
      <c r="A37" s="35" t="s">
        <v>39</v>
      </c>
      <c r="B37" s="41" t="s">
        <v>51</v>
      </c>
      <c r="C37" s="43" t="s">
        <v>12</v>
      </c>
      <c r="D37" s="44"/>
      <c r="E37" s="37">
        <f>2*F33*B5</f>
        <v>131072000</v>
      </c>
      <c r="F37" s="38">
        <f>B5*B9</f>
        <v>16384</v>
      </c>
      <c r="G37" s="36">
        <f t="shared" ref="G37:H37" si="19">E37*$B$20</f>
        <v>131072000</v>
      </c>
      <c r="H37" s="36">
        <f t="shared" si="19"/>
        <v>16384</v>
      </c>
      <c r="I37" s="39">
        <f t="shared" si="4"/>
        <v>0</v>
      </c>
      <c r="J37" s="40">
        <f t="shared" si="5"/>
        <v>0.015625</v>
      </c>
      <c r="L37" s="4"/>
      <c r="M37" s="4"/>
    </row>
    <row r="38">
      <c r="A38" s="35" t="s">
        <v>39</v>
      </c>
      <c r="B38" s="41" t="s">
        <v>52</v>
      </c>
      <c r="C38" s="43" t="s">
        <v>12</v>
      </c>
      <c r="D38" s="36">
        <f>B5*B9*B3</f>
        <v>117440512</v>
      </c>
      <c r="E38" s="37">
        <f>D38*2</f>
        <v>234881024</v>
      </c>
      <c r="F38" s="38">
        <f>B3</f>
        <v>7168</v>
      </c>
      <c r="G38" s="36">
        <f t="shared" ref="G38:H38" si="20">E38*$B$20</f>
        <v>234881024</v>
      </c>
      <c r="H38" s="36">
        <f t="shared" si="20"/>
        <v>7168</v>
      </c>
      <c r="I38" s="39">
        <f t="shared" si="4"/>
        <v>112</v>
      </c>
      <c r="J38" s="40">
        <f t="shared" si="5"/>
        <v>0.0068359375</v>
      </c>
      <c r="L38" s="4"/>
      <c r="M38" s="4"/>
    </row>
    <row r="39">
      <c r="A39" s="35" t="s">
        <v>39</v>
      </c>
      <c r="B39" s="41" t="s">
        <v>53</v>
      </c>
      <c r="C39" s="43" t="s">
        <v>12</v>
      </c>
      <c r="D39" s="44"/>
      <c r="E39" s="37">
        <f>3*(F38+1)</f>
        <v>21507</v>
      </c>
      <c r="F39" s="38">
        <f>F38</f>
        <v>7168</v>
      </c>
      <c r="G39" s="36">
        <f t="shared" ref="G39:H39" si="21">E39*$B$20</f>
        <v>21507</v>
      </c>
      <c r="H39" s="36">
        <f t="shared" si="21"/>
        <v>7168</v>
      </c>
      <c r="I39" s="39">
        <f t="shared" si="4"/>
        <v>0</v>
      </c>
      <c r="J39" s="40">
        <f t="shared" si="5"/>
        <v>0.0068359375</v>
      </c>
      <c r="L39" s="4"/>
      <c r="M39" s="4"/>
    </row>
    <row r="40">
      <c r="A40" s="35" t="s">
        <v>54</v>
      </c>
      <c r="B40" s="41" t="s">
        <v>55</v>
      </c>
      <c r="C40" s="43" t="s">
        <v>12</v>
      </c>
      <c r="D40" s="36">
        <f>B3*B10</f>
        <v>132120576</v>
      </c>
      <c r="E40" s="37">
        <f t="shared" ref="E40:E41" si="23">D40*2</f>
        <v>264241152</v>
      </c>
      <c r="F40" s="38">
        <f>B10</f>
        <v>18432</v>
      </c>
      <c r="G40" s="36">
        <f t="shared" ref="G40:H40" si="22">E40*$B$20</f>
        <v>264241152</v>
      </c>
      <c r="H40" s="36">
        <f t="shared" si="22"/>
        <v>18432</v>
      </c>
      <c r="I40" s="39">
        <f t="shared" si="4"/>
        <v>126</v>
      </c>
      <c r="J40" s="40">
        <f t="shared" si="5"/>
        <v>0.017578125</v>
      </c>
      <c r="L40" s="4"/>
      <c r="M40" s="4"/>
    </row>
    <row r="41">
      <c r="A41" s="35" t="s">
        <v>54</v>
      </c>
      <c r="B41" s="41" t="s">
        <v>56</v>
      </c>
      <c r="C41" s="43" t="s">
        <v>12</v>
      </c>
      <c r="D41" s="36">
        <f>D40</f>
        <v>132120576</v>
      </c>
      <c r="E41" s="37">
        <f t="shared" si="23"/>
        <v>264241152</v>
      </c>
      <c r="F41" s="38">
        <f>B10</f>
        <v>18432</v>
      </c>
      <c r="G41" s="36">
        <f t="shared" ref="G41:H41" si="24">E41*$B$20</f>
        <v>264241152</v>
      </c>
      <c r="H41" s="36">
        <f t="shared" si="24"/>
        <v>18432</v>
      </c>
      <c r="I41" s="39">
        <f t="shared" si="4"/>
        <v>126</v>
      </c>
      <c r="J41" s="40">
        <f t="shared" si="5"/>
        <v>0.017578125</v>
      </c>
      <c r="L41" s="4"/>
      <c r="M41" s="4"/>
    </row>
    <row r="42">
      <c r="A42" s="35" t="s">
        <v>54</v>
      </c>
      <c r="B42" s="41" t="s">
        <v>57</v>
      </c>
      <c r="C42" s="43" t="s">
        <v>12</v>
      </c>
      <c r="D42" s="44"/>
      <c r="E42" s="37">
        <f>(8+1)*F41</f>
        <v>165888</v>
      </c>
      <c r="F42" s="38">
        <f>F41</f>
        <v>18432</v>
      </c>
      <c r="G42" s="36">
        <f t="shared" ref="G42:H42" si="25">E42*$B$20</f>
        <v>165888</v>
      </c>
      <c r="H42" s="36">
        <f t="shared" si="25"/>
        <v>18432</v>
      </c>
      <c r="I42" s="39">
        <f t="shared" si="4"/>
        <v>0</v>
      </c>
      <c r="J42" s="40">
        <f t="shared" si="5"/>
        <v>0.017578125</v>
      </c>
    </row>
    <row r="43">
      <c r="A43" s="35" t="s">
        <v>54</v>
      </c>
      <c r="B43" s="41" t="s">
        <v>58</v>
      </c>
      <c r="C43" s="43" t="s">
        <v>12</v>
      </c>
      <c r="D43" s="36">
        <f>D41</f>
        <v>132120576</v>
      </c>
      <c r="E43" s="37">
        <f t="shared" ref="E43:E46" si="27">D43*2</f>
        <v>264241152</v>
      </c>
      <c r="F43" s="38">
        <f>B3</f>
        <v>7168</v>
      </c>
      <c r="G43" s="36">
        <f t="shared" ref="G43:H43" si="26">E43*$B$20</f>
        <v>264241152</v>
      </c>
      <c r="H43" s="36">
        <f t="shared" si="26"/>
        <v>7168</v>
      </c>
      <c r="I43" s="39">
        <f t="shared" si="4"/>
        <v>126</v>
      </c>
      <c r="J43" s="40">
        <f t="shared" si="5"/>
        <v>0.0068359375</v>
      </c>
    </row>
    <row r="44">
      <c r="A44" s="35" t="s">
        <v>59</v>
      </c>
      <c r="B44" s="41" t="s">
        <v>60</v>
      </c>
      <c r="C44" s="35" t="s">
        <v>14</v>
      </c>
      <c r="D44" s="36">
        <f>B12*B3</f>
        <v>1835008</v>
      </c>
      <c r="E44" s="37">
        <f t="shared" si="27"/>
        <v>3670016</v>
      </c>
      <c r="F44" s="38">
        <f>B12+B13</f>
        <v>257</v>
      </c>
      <c r="G44" s="36">
        <f t="shared" ref="G44:H44" si="28">E44*$B$20</f>
        <v>3670016</v>
      </c>
      <c r="H44" s="36">
        <f t="shared" si="28"/>
        <v>257</v>
      </c>
      <c r="I44" s="39">
        <f t="shared" si="4"/>
        <v>3.5</v>
      </c>
      <c r="J44" s="40">
        <f t="shared" si="5"/>
        <v>0.0004901885986</v>
      </c>
    </row>
    <row r="45">
      <c r="A45" s="35" t="s">
        <v>61</v>
      </c>
      <c r="B45" s="41" t="s">
        <v>55</v>
      </c>
      <c r="C45" s="35" t="s">
        <v>12</v>
      </c>
      <c r="D45" s="36">
        <f>B3*B11</f>
        <v>14680064</v>
      </c>
      <c r="E45" s="37">
        <f t="shared" si="27"/>
        <v>29360128</v>
      </c>
      <c r="F45" s="38">
        <f>B11</f>
        <v>2048</v>
      </c>
      <c r="G45" s="36">
        <f t="shared" ref="G45:H45" si="29">E45*$B$20</f>
        <v>29360128</v>
      </c>
      <c r="H45" s="36">
        <f t="shared" si="29"/>
        <v>2048</v>
      </c>
      <c r="I45" s="39">
        <f t="shared" si="4"/>
        <v>14</v>
      </c>
      <c r="J45" s="40">
        <f t="shared" si="5"/>
        <v>0.001953125</v>
      </c>
    </row>
    <row r="46">
      <c r="A46" s="35" t="s">
        <v>61</v>
      </c>
      <c r="B46" s="41" t="s">
        <v>56</v>
      </c>
      <c r="C46" s="35" t="s">
        <v>12</v>
      </c>
      <c r="D46" s="36">
        <f>B3*B11</f>
        <v>14680064</v>
      </c>
      <c r="E46" s="37">
        <f t="shared" si="27"/>
        <v>29360128</v>
      </c>
      <c r="F46" s="38">
        <f>B11</f>
        <v>2048</v>
      </c>
      <c r="G46" s="36">
        <f t="shared" ref="G46:H46" si="30">E46*$B$20</f>
        <v>29360128</v>
      </c>
      <c r="H46" s="36">
        <f t="shared" si="30"/>
        <v>2048</v>
      </c>
      <c r="I46" s="39">
        <f t="shared" si="4"/>
        <v>14</v>
      </c>
      <c r="J46" s="40">
        <f t="shared" si="5"/>
        <v>0.001953125</v>
      </c>
    </row>
    <row r="47">
      <c r="A47" s="35" t="s">
        <v>61</v>
      </c>
      <c r="B47" s="41" t="s">
        <v>57</v>
      </c>
      <c r="C47" s="35" t="s">
        <v>12</v>
      </c>
      <c r="D47" s="44"/>
      <c r="E47" s="37">
        <f>(8+1)*F46</f>
        <v>18432</v>
      </c>
      <c r="F47" s="38">
        <f>F46</f>
        <v>2048</v>
      </c>
      <c r="G47" s="36">
        <f t="shared" ref="G47:H47" si="31">E47*$B$20</f>
        <v>18432</v>
      </c>
      <c r="H47" s="36">
        <f t="shared" si="31"/>
        <v>2048</v>
      </c>
      <c r="I47" s="39">
        <f t="shared" si="4"/>
        <v>0</v>
      </c>
      <c r="J47" s="40">
        <f t="shared" si="5"/>
        <v>0.001953125</v>
      </c>
    </row>
    <row r="48">
      <c r="A48" s="35" t="s">
        <v>61</v>
      </c>
      <c r="B48" s="41" t="s">
        <v>58</v>
      </c>
      <c r="C48" s="35" t="s">
        <v>12</v>
      </c>
      <c r="D48" s="36">
        <f>B11*B3</f>
        <v>14680064</v>
      </c>
      <c r="E48" s="37">
        <f t="shared" ref="E48:E49" si="33">D48*2</f>
        <v>29360128</v>
      </c>
      <c r="F48" s="38">
        <f>B3</f>
        <v>7168</v>
      </c>
      <c r="G48" s="36">
        <f t="shared" ref="G48:H48" si="32">E48*$B$20</f>
        <v>29360128</v>
      </c>
      <c r="H48" s="36">
        <f t="shared" si="32"/>
        <v>7168</v>
      </c>
      <c r="I48" s="39">
        <f t="shared" si="4"/>
        <v>14</v>
      </c>
      <c r="J48" s="40">
        <f t="shared" si="5"/>
        <v>0.0068359375</v>
      </c>
    </row>
    <row r="49">
      <c r="A49" s="35" t="s">
        <v>36</v>
      </c>
      <c r="B49" s="41" t="s">
        <v>62</v>
      </c>
      <c r="C49" s="35" t="s">
        <v>14</v>
      </c>
      <c r="D49" s="36">
        <f>B2*B3</f>
        <v>926679040</v>
      </c>
      <c r="E49" s="37">
        <f t="shared" si="33"/>
        <v>1853358080</v>
      </c>
      <c r="F49" s="38">
        <f>B2</f>
        <v>129280</v>
      </c>
      <c r="G49" s="36">
        <f t="shared" ref="G49:H49" si="34">E49*$B$20</f>
        <v>1853358080</v>
      </c>
      <c r="H49" s="36">
        <f t="shared" si="34"/>
        <v>129280</v>
      </c>
      <c r="I49" s="39">
        <f t="shared" si="4"/>
        <v>1767.5</v>
      </c>
      <c r="J49" s="40">
        <f t="shared" si="5"/>
        <v>0.2465820313</v>
      </c>
    </row>
    <row r="50">
      <c r="A50" s="46" t="s">
        <v>36</v>
      </c>
      <c r="B50" s="47" t="s">
        <v>63</v>
      </c>
      <c r="C50" s="46" t="s">
        <v>14</v>
      </c>
      <c r="D50" s="48"/>
      <c r="E50" s="49">
        <f>F49</f>
        <v>129280</v>
      </c>
      <c r="F50" s="50">
        <f>F48</f>
        <v>7168</v>
      </c>
      <c r="G50" s="51">
        <f t="shared" ref="G50:H50" si="35">E50*$B$20</f>
        <v>129280</v>
      </c>
      <c r="H50" s="51">
        <f t="shared" si="35"/>
        <v>7168</v>
      </c>
      <c r="I50" s="52">
        <f t="shared" si="4"/>
        <v>0</v>
      </c>
      <c r="J50" s="53">
        <f t="shared" si="5"/>
        <v>0.013671875</v>
      </c>
    </row>
    <row r="51">
      <c r="D51" s="4"/>
      <c r="E51" s="4"/>
      <c r="F51" s="4"/>
      <c r="H51" s="4"/>
      <c r="I51" s="4"/>
    </row>
    <row r="52">
      <c r="A52" s="43" t="s">
        <v>64</v>
      </c>
      <c r="D52" s="4"/>
      <c r="E52" s="4"/>
      <c r="F52" s="15"/>
      <c r="H52" s="4"/>
      <c r="I52" s="4"/>
    </row>
    <row r="53">
      <c r="A53" s="31" t="s">
        <v>65</v>
      </c>
      <c r="B53" s="31" t="s">
        <v>66</v>
      </c>
      <c r="C53" s="31" t="s">
        <v>67</v>
      </c>
      <c r="D53" s="31" t="s">
        <v>68</v>
      </c>
      <c r="E53" s="54" t="s">
        <v>69</v>
      </c>
      <c r="F53" s="54" t="s">
        <v>70</v>
      </c>
      <c r="G53" s="54" t="s">
        <v>71</v>
      </c>
      <c r="H53" s="54"/>
      <c r="I53" s="54"/>
      <c r="J53" s="31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55" t="s">
        <v>36</v>
      </c>
      <c r="B54" s="43">
        <v>1.0</v>
      </c>
      <c r="C54" s="43">
        <v>1.0</v>
      </c>
      <c r="D54" s="14">
        <f t="shared" ref="D54:D58" si="36">sumif($A$24:$A$50,$A54,$D$24:$D$50)/10^6</f>
        <v>1853.35808</v>
      </c>
      <c r="E54" s="14">
        <f t="shared" ref="E54:E58" si="37">sumif($A$24:$A$50,$A54,$I$24:$I$50)</f>
        <v>3535</v>
      </c>
      <c r="F54" s="14">
        <f t="shared" ref="F54:F58" si="38">sumif($A$24:$A$50,$A54,$J$24:$J$50)</f>
        <v>0.2875976563</v>
      </c>
      <c r="G54" s="4">
        <f t="shared" ref="G54:G58" si="39">sumif($A$24:$A$50,$A54,$G$24:$G$50)/10^6</f>
        <v>1853.508864</v>
      </c>
      <c r="H54" s="14"/>
      <c r="I54" s="56"/>
    </row>
    <row r="55">
      <c r="A55" s="31" t="s">
        <v>39</v>
      </c>
      <c r="B55" s="43">
        <v>1.0</v>
      </c>
      <c r="C55" s="43">
        <v>1.0</v>
      </c>
      <c r="D55" s="14">
        <f t="shared" si="36"/>
        <v>187.10528</v>
      </c>
      <c r="E55" s="14">
        <f t="shared" si="37"/>
        <v>178.4375</v>
      </c>
      <c r="F55" s="14">
        <f t="shared" si="38"/>
        <v>1.376586914</v>
      </c>
      <c r="G55" s="4">
        <f t="shared" si="39"/>
        <v>653.812044</v>
      </c>
      <c r="H55" s="14"/>
      <c r="I55" s="56"/>
    </row>
    <row r="56">
      <c r="A56" s="31" t="s">
        <v>54</v>
      </c>
      <c r="B56" s="43">
        <v>1.0</v>
      </c>
      <c r="C56" s="43">
        <v>1.0</v>
      </c>
      <c r="D56" s="14">
        <f t="shared" si="36"/>
        <v>396.361728</v>
      </c>
      <c r="E56" s="14">
        <f t="shared" si="37"/>
        <v>378</v>
      </c>
      <c r="F56" s="14">
        <f t="shared" si="38"/>
        <v>0.0595703125</v>
      </c>
      <c r="G56" s="4">
        <f t="shared" si="39"/>
        <v>792.889344</v>
      </c>
      <c r="H56" s="14"/>
      <c r="I56" s="57"/>
    </row>
    <row r="57">
      <c r="A57" s="31" t="s">
        <v>59</v>
      </c>
      <c r="B57" s="43">
        <v>1.0</v>
      </c>
      <c r="C57" s="43">
        <v>1.0</v>
      </c>
      <c r="D57" s="14">
        <f t="shared" si="36"/>
        <v>1.835008</v>
      </c>
      <c r="E57" s="14">
        <f t="shared" si="37"/>
        <v>3.5</v>
      </c>
      <c r="F57" s="14">
        <f t="shared" si="38"/>
        <v>0.0004901885986</v>
      </c>
      <c r="G57" s="4">
        <f t="shared" si="39"/>
        <v>3.670016</v>
      </c>
      <c r="H57" s="14"/>
      <c r="I57" s="56"/>
    </row>
    <row r="58">
      <c r="A58" s="31" t="s">
        <v>61</v>
      </c>
      <c r="B58" s="4">
        <f>B12+B13</f>
        <v>257</v>
      </c>
      <c r="C58" s="15">
        <f>B14+B13</f>
        <v>9</v>
      </c>
      <c r="D58" s="14">
        <f t="shared" si="36"/>
        <v>44.040192</v>
      </c>
      <c r="E58" s="14">
        <f t="shared" si="37"/>
        <v>42</v>
      </c>
      <c r="F58" s="14">
        <f t="shared" si="38"/>
        <v>0.0126953125</v>
      </c>
      <c r="G58" s="4">
        <f t="shared" si="39"/>
        <v>88.098816</v>
      </c>
      <c r="H58" s="14"/>
      <c r="I58" s="57"/>
    </row>
    <row r="59">
      <c r="F59" s="4"/>
      <c r="G59" s="4"/>
    </row>
    <row r="60">
      <c r="A60" s="43" t="s">
        <v>72</v>
      </c>
      <c r="F60" s="4"/>
      <c r="G60" s="4"/>
    </row>
    <row r="61">
      <c r="A61" s="31" t="s">
        <v>65</v>
      </c>
      <c r="B61" s="31" t="s">
        <v>73</v>
      </c>
      <c r="C61" s="31" t="s">
        <v>74</v>
      </c>
      <c r="D61" s="54" t="s">
        <v>75</v>
      </c>
      <c r="E61" s="54" t="s">
        <v>71</v>
      </c>
      <c r="F61" s="58" t="s">
        <v>76</v>
      </c>
      <c r="G61" s="58" t="s">
        <v>77</v>
      </c>
      <c r="H61" s="58" t="s">
        <v>78</v>
      </c>
      <c r="I61" s="58" t="s">
        <v>79</v>
      </c>
    </row>
    <row r="62">
      <c r="A62" s="55" t="s">
        <v>36</v>
      </c>
      <c r="B62" s="43">
        <v>1.0</v>
      </c>
      <c r="C62" s="4">
        <f t="shared" ref="C62:C66" si="40">D54*B54*B62</f>
        <v>1853.35808</v>
      </c>
      <c r="D62" s="4">
        <f t="shared" ref="D62:D66" si="41">D54*C54*B62</f>
        <v>1853.35808</v>
      </c>
      <c r="E62" s="4">
        <f t="shared" ref="E62:E66" si="42">G54*C54*B62</f>
        <v>1853.508864</v>
      </c>
      <c r="F62" s="4">
        <f t="shared" ref="F62:F66" si="43">B62*B54*E54</f>
        <v>3535</v>
      </c>
      <c r="G62" s="4">
        <f t="shared" ref="G62:G66" si="44">B62*C54*E54</f>
        <v>3535</v>
      </c>
      <c r="H62" s="14">
        <f t="shared" ref="H62:H66" si="45">B62*B54*F54</f>
        <v>0.2875976563</v>
      </c>
      <c r="I62" s="14">
        <f t="shared" ref="I62:I66" si="46">B62*C54*F54</f>
        <v>0.2875976563</v>
      </c>
    </row>
    <row r="63">
      <c r="A63" s="31" t="s">
        <v>39</v>
      </c>
      <c r="B63" s="15">
        <f t="shared" ref="B63:B64" si="47">B15</f>
        <v>61</v>
      </c>
      <c r="C63" s="4">
        <f t="shared" si="40"/>
        <v>11413.42208</v>
      </c>
      <c r="D63" s="4">
        <f t="shared" si="41"/>
        <v>11413.42208</v>
      </c>
      <c r="E63" s="4">
        <f t="shared" si="42"/>
        <v>39882.53468</v>
      </c>
      <c r="F63" s="4">
        <f t="shared" si="43"/>
        <v>10884.6875</v>
      </c>
      <c r="G63" s="4">
        <f t="shared" si="44"/>
        <v>10884.6875</v>
      </c>
      <c r="H63" s="14">
        <f t="shared" si="45"/>
        <v>83.97180176</v>
      </c>
      <c r="I63" s="14">
        <f t="shared" si="46"/>
        <v>83.97180176</v>
      </c>
    </row>
    <row r="64">
      <c r="A64" s="31" t="s">
        <v>54</v>
      </c>
      <c r="B64" s="4">
        <f t="shared" si="47"/>
        <v>3</v>
      </c>
      <c r="C64" s="4">
        <f t="shared" si="40"/>
        <v>1189.085184</v>
      </c>
      <c r="D64" s="4">
        <f t="shared" si="41"/>
        <v>1189.085184</v>
      </c>
      <c r="E64" s="4">
        <f t="shared" si="42"/>
        <v>2378.668032</v>
      </c>
      <c r="F64" s="4">
        <f t="shared" si="43"/>
        <v>1134</v>
      </c>
      <c r="G64" s="4">
        <f t="shared" si="44"/>
        <v>1134</v>
      </c>
      <c r="H64" s="14">
        <f t="shared" si="45"/>
        <v>0.1787109375</v>
      </c>
      <c r="I64" s="14">
        <f t="shared" si="46"/>
        <v>0.1787109375</v>
      </c>
    </row>
    <row r="65">
      <c r="A65" s="31" t="s">
        <v>59</v>
      </c>
      <c r="B65" s="15">
        <f>B63-B64</f>
        <v>58</v>
      </c>
      <c r="C65" s="4">
        <f t="shared" si="40"/>
        <v>106.430464</v>
      </c>
      <c r="D65" s="4">
        <f t="shared" si="41"/>
        <v>106.430464</v>
      </c>
      <c r="E65" s="4">
        <f t="shared" si="42"/>
        <v>212.860928</v>
      </c>
      <c r="F65" s="4">
        <f t="shared" si="43"/>
        <v>203</v>
      </c>
      <c r="G65" s="4">
        <f t="shared" si="44"/>
        <v>203</v>
      </c>
      <c r="H65" s="14">
        <f t="shared" si="45"/>
        <v>0.02843093872</v>
      </c>
      <c r="I65" s="14">
        <f t="shared" si="46"/>
        <v>0.02843093872</v>
      </c>
    </row>
    <row r="66">
      <c r="A66" s="31" t="s">
        <v>80</v>
      </c>
      <c r="B66" s="4">
        <f>B65</f>
        <v>58</v>
      </c>
      <c r="C66" s="4">
        <f t="shared" si="40"/>
        <v>656463.102</v>
      </c>
      <c r="D66" s="4">
        <f t="shared" si="41"/>
        <v>22988.98022</v>
      </c>
      <c r="E66" s="4">
        <f t="shared" si="42"/>
        <v>45987.58195</v>
      </c>
      <c r="F66" s="4">
        <f t="shared" si="43"/>
        <v>626052</v>
      </c>
      <c r="G66" s="4">
        <f t="shared" si="44"/>
        <v>21924</v>
      </c>
      <c r="H66" s="14">
        <f t="shared" si="45"/>
        <v>189.2363281</v>
      </c>
      <c r="I66" s="14">
        <f t="shared" si="46"/>
        <v>6.626953125</v>
      </c>
    </row>
    <row r="67">
      <c r="C67" s="4"/>
      <c r="E67" s="4"/>
      <c r="F67" s="4"/>
      <c r="H67" s="4"/>
      <c r="I67" s="4"/>
    </row>
    <row r="68">
      <c r="C68" s="4">
        <f t="shared" ref="C68:I68" si="48">sum(C62:C66)</f>
        <v>671025.3978</v>
      </c>
      <c r="D68" s="4">
        <f t="shared" si="48"/>
        <v>37551.27603</v>
      </c>
      <c r="E68" s="4">
        <f t="shared" si="48"/>
        <v>90315.15446</v>
      </c>
      <c r="F68" s="4">
        <f t="shared" si="48"/>
        <v>641808.6875</v>
      </c>
      <c r="G68" s="4">
        <f t="shared" si="48"/>
        <v>37680.6875</v>
      </c>
      <c r="H68" s="4">
        <f t="shared" si="48"/>
        <v>273.7028694</v>
      </c>
      <c r="I68" s="4">
        <f t="shared" si="48"/>
        <v>91.09349442</v>
      </c>
    </row>
    <row r="69">
      <c r="D69" s="4"/>
      <c r="E69" s="4">
        <f>E68/B20</f>
        <v>90315.15446</v>
      </c>
      <c r="F69" s="4"/>
      <c r="H69" s="4"/>
      <c r="I69" s="4"/>
    </row>
    <row r="70">
      <c r="D70" s="4"/>
      <c r="E70" s="4"/>
      <c r="F70" s="4"/>
      <c r="H70" s="4"/>
      <c r="I70" s="4"/>
    </row>
    <row r="71">
      <c r="D71" s="4"/>
      <c r="E71" s="4"/>
      <c r="F71" s="4"/>
      <c r="H71" s="4"/>
      <c r="I71" s="4"/>
    </row>
    <row r="72">
      <c r="D72" s="4"/>
      <c r="E72" s="4"/>
      <c r="F72" s="4"/>
      <c r="H72" s="4"/>
      <c r="I72" s="4"/>
    </row>
    <row r="73">
      <c r="D73" s="4"/>
      <c r="E73" s="4"/>
      <c r="F73" s="4"/>
      <c r="H73" s="4"/>
      <c r="I73" s="4"/>
    </row>
    <row r="74">
      <c r="D74" s="4"/>
      <c r="E74" s="4"/>
      <c r="F74" s="4"/>
      <c r="H74" s="4"/>
      <c r="I74" s="4"/>
    </row>
    <row r="75">
      <c r="D75" s="4"/>
      <c r="E75" s="4"/>
      <c r="F75" s="4"/>
      <c r="H75" s="4"/>
      <c r="I75" s="4"/>
    </row>
    <row r="76">
      <c r="D76" s="4"/>
      <c r="E76" s="4"/>
      <c r="F76" s="4"/>
      <c r="H76" s="4"/>
      <c r="I76" s="4"/>
    </row>
    <row r="77">
      <c r="D77" s="4"/>
      <c r="E77" s="4"/>
      <c r="F77" s="4"/>
      <c r="H77" s="4"/>
      <c r="I77" s="4"/>
    </row>
    <row r="78">
      <c r="D78" s="4"/>
      <c r="E78" s="4"/>
      <c r="F78" s="4"/>
      <c r="H78" s="4"/>
      <c r="I78" s="4"/>
    </row>
    <row r="79">
      <c r="D79" s="4"/>
      <c r="E79" s="4"/>
      <c r="F79" s="4"/>
      <c r="H79" s="4"/>
      <c r="I79" s="4"/>
    </row>
    <row r="80">
      <c r="D80" s="4"/>
      <c r="E80" s="4"/>
      <c r="F80" s="4"/>
      <c r="H80" s="4"/>
      <c r="I80" s="4"/>
    </row>
    <row r="81">
      <c r="D81" s="4"/>
      <c r="E81" s="4"/>
      <c r="F81" s="4"/>
      <c r="H81" s="4"/>
      <c r="I81" s="4"/>
    </row>
    <row r="82">
      <c r="D82" s="4"/>
      <c r="E82" s="4"/>
      <c r="F82" s="4"/>
      <c r="H82" s="4"/>
      <c r="I82" s="4"/>
    </row>
    <row r="83">
      <c r="D83" s="4"/>
      <c r="E83" s="4"/>
      <c r="F83" s="4"/>
      <c r="H83" s="4"/>
      <c r="I83" s="4"/>
    </row>
    <row r="84">
      <c r="D84" s="4"/>
      <c r="E84" s="4"/>
      <c r="F84" s="4"/>
      <c r="H84" s="4"/>
      <c r="I84" s="4"/>
    </row>
    <row r="85">
      <c r="D85" s="4"/>
      <c r="E85" s="4"/>
      <c r="F85" s="4"/>
      <c r="H85" s="4"/>
      <c r="I85" s="4"/>
    </row>
    <row r="86">
      <c r="D86" s="4"/>
      <c r="E86" s="4"/>
      <c r="F86" s="4"/>
      <c r="H86" s="4"/>
      <c r="I86" s="4"/>
    </row>
    <row r="87">
      <c r="D87" s="4"/>
      <c r="E87" s="4"/>
      <c r="F87" s="4"/>
      <c r="H87" s="4"/>
      <c r="I87" s="4"/>
    </row>
    <row r="88">
      <c r="D88" s="4"/>
      <c r="E88" s="4"/>
      <c r="F88" s="4"/>
      <c r="H88" s="4"/>
      <c r="I88" s="4"/>
    </row>
    <row r="89">
      <c r="D89" s="4"/>
      <c r="E89" s="4"/>
      <c r="F89" s="4"/>
      <c r="H89" s="4"/>
      <c r="I89" s="4"/>
    </row>
    <row r="90">
      <c r="D90" s="4"/>
      <c r="E90" s="4"/>
      <c r="F90" s="4"/>
      <c r="H90" s="4"/>
      <c r="I90" s="4"/>
    </row>
    <row r="91">
      <c r="D91" s="4"/>
      <c r="E91" s="4"/>
      <c r="F91" s="4"/>
      <c r="H91" s="4"/>
      <c r="I91" s="4"/>
    </row>
    <row r="92">
      <c r="D92" s="4"/>
      <c r="E92" s="4"/>
      <c r="F92" s="4"/>
      <c r="H92" s="4"/>
      <c r="I92" s="4"/>
    </row>
    <row r="93">
      <c r="D93" s="4"/>
      <c r="E93" s="4"/>
      <c r="F93" s="4"/>
      <c r="H93" s="4"/>
      <c r="I93" s="4"/>
    </row>
    <row r="94">
      <c r="D94" s="4"/>
      <c r="E94" s="4"/>
      <c r="F94" s="4"/>
      <c r="H94" s="4"/>
      <c r="I94" s="4"/>
    </row>
    <row r="95">
      <c r="D95" s="4"/>
      <c r="E95" s="4"/>
      <c r="F95" s="4"/>
      <c r="H95" s="4"/>
      <c r="I95" s="4"/>
    </row>
    <row r="96">
      <c r="D96" s="4"/>
      <c r="E96" s="4"/>
      <c r="F96" s="4"/>
      <c r="H96" s="4"/>
      <c r="I96" s="4"/>
    </row>
    <row r="97">
      <c r="D97" s="4"/>
      <c r="E97" s="4"/>
      <c r="F97" s="4"/>
      <c r="H97" s="4"/>
      <c r="I97" s="4"/>
    </row>
    <row r="98">
      <c r="D98" s="4"/>
      <c r="E98" s="4"/>
      <c r="F98" s="4"/>
      <c r="H98" s="4"/>
      <c r="I98" s="4"/>
    </row>
    <row r="99">
      <c r="D99" s="4"/>
      <c r="E99" s="4"/>
      <c r="F99" s="4"/>
      <c r="H99" s="4"/>
      <c r="I99" s="4"/>
    </row>
    <row r="100">
      <c r="D100" s="4"/>
      <c r="E100" s="4"/>
      <c r="F100" s="4"/>
      <c r="H100" s="4"/>
      <c r="I100" s="4"/>
    </row>
    <row r="101">
      <c r="D101" s="4"/>
      <c r="E101" s="4"/>
      <c r="F101" s="4"/>
      <c r="H101" s="4"/>
      <c r="I101" s="4"/>
    </row>
    <row r="102">
      <c r="D102" s="4"/>
      <c r="E102" s="4"/>
      <c r="F102" s="4"/>
      <c r="H102" s="4"/>
      <c r="I102" s="4"/>
    </row>
    <row r="103">
      <c r="D103" s="4"/>
      <c r="E103" s="4"/>
      <c r="F103" s="4"/>
      <c r="H103" s="4"/>
      <c r="I103" s="4"/>
    </row>
    <row r="104">
      <c r="D104" s="4"/>
      <c r="E104" s="4"/>
      <c r="F104" s="4"/>
      <c r="H104" s="4"/>
      <c r="I104" s="4"/>
    </row>
    <row r="105">
      <c r="D105" s="4"/>
      <c r="E105" s="4"/>
      <c r="F105" s="4"/>
      <c r="H105" s="4"/>
      <c r="I105" s="4"/>
    </row>
    <row r="106">
      <c r="D106" s="4"/>
      <c r="E106" s="4"/>
      <c r="F106" s="4"/>
      <c r="H106" s="4"/>
      <c r="I106" s="4"/>
    </row>
    <row r="107">
      <c r="D107" s="4"/>
      <c r="E107" s="4"/>
      <c r="F107" s="4"/>
      <c r="H107" s="4"/>
      <c r="I107" s="4"/>
    </row>
    <row r="108">
      <c r="D108" s="4"/>
      <c r="E108" s="4"/>
      <c r="F108" s="4"/>
      <c r="H108" s="4"/>
      <c r="I108" s="4"/>
    </row>
    <row r="109">
      <c r="D109" s="4"/>
      <c r="E109" s="4"/>
      <c r="F109" s="4"/>
      <c r="H109" s="4"/>
      <c r="I109" s="4"/>
    </row>
    <row r="110">
      <c r="D110" s="4"/>
      <c r="E110" s="4"/>
      <c r="F110" s="4"/>
      <c r="H110" s="4"/>
      <c r="I110" s="4"/>
    </row>
    <row r="111">
      <c r="D111" s="4"/>
      <c r="E111" s="4"/>
      <c r="F111" s="4"/>
      <c r="H111" s="4"/>
      <c r="I111" s="4"/>
    </row>
    <row r="112">
      <c r="D112" s="4"/>
      <c r="E112" s="4"/>
      <c r="F112" s="4"/>
      <c r="H112" s="4"/>
      <c r="I112" s="4"/>
    </row>
    <row r="113">
      <c r="D113" s="4"/>
      <c r="E113" s="4"/>
      <c r="F113" s="4"/>
      <c r="H113" s="4"/>
      <c r="I113" s="4"/>
    </row>
    <row r="114">
      <c r="D114" s="4"/>
      <c r="E114" s="4"/>
      <c r="F114" s="4"/>
      <c r="H114" s="4"/>
      <c r="I114" s="4"/>
    </row>
    <row r="115">
      <c r="D115" s="4"/>
      <c r="E115" s="4"/>
      <c r="F115" s="4"/>
      <c r="H115" s="4"/>
      <c r="I115" s="4"/>
    </row>
    <row r="116">
      <c r="D116" s="4"/>
      <c r="E116" s="4"/>
      <c r="F116" s="4"/>
      <c r="H116" s="4"/>
      <c r="I116" s="4"/>
    </row>
    <row r="117">
      <c r="D117" s="4"/>
      <c r="E117" s="4"/>
      <c r="F117" s="4"/>
      <c r="H117" s="4"/>
      <c r="I117" s="4"/>
    </row>
    <row r="118">
      <c r="D118" s="4"/>
      <c r="E118" s="4"/>
      <c r="F118" s="4"/>
      <c r="H118" s="4"/>
      <c r="I118" s="4"/>
    </row>
    <row r="119">
      <c r="D119" s="4"/>
      <c r="E119" s="4"/>
      <c r="F119" s="4"/>
      <c r="H119" s="4"/>
      <c r="I119" s="4"/>
    </row>
    <row r="120">
      <c r="D120" s="4"/>
      <c r="E120" s="4"/>
      <c r="F120" s="4"/>
      <c r="H120" s="4"/>
      <c r="I120" s="4"/>
    </row>
    <row r="121">
      <c r="D121" s="4"/>
      <c r="E121" s="4"/>
      <c r="F121" s="4"/>
      <c r="H121" s="4"/>
      <c r="I121" s="4"/>
    </row>
    <row r="122">
      <c r="D122" s="4"/>
      <c r="E122" s="4"/>
      <c r="F122" s="4"/>
      <c r="H122" s="4"/>
      <c r="I122" s="4"/>
    </row>
    <row r="123">
      <c r="D123" s="4"/>
      <c r="E123" s="4"/>
      <c r="F123" s="4"/>
      <c r="H123" s="4"/>
      <c r="I123" s="4"/>
    </row>
    <row r="124">
      <c r="D124" s="4"/>
      <c r="E124" s="4"/>
      <c r="F124" s="4"/>
      <c r="H124" s="4"/>
      <c r="I124" s="4"/>
    </row>
    <row r="125">
      <c r="D125" s="4"/>
      <c r="E125" s="4"/>
      <c r="F125" s="4"/>
      <c r="H125" s="4"/>
      <c r="I125" s="4"/>
    </row>
    <row r="126">
      <c r="D126" s="4"/>
      <c r="E126" s="4"/>
      <c r="F126" s="4"/>
      <c r="H126" s="4"/>
      <c r="I126" s="4"/>
    </row>
    <row r="127">
      <c r="D127" s="4"/>
      <c r="E127" s="4"/>
      <c r="F127" s="4"/>
      <c r="H127" s="4"/>
      <c r="I127" s="4"/>
    </row>
    <row r="128">
      <c r="D128" s="4"/>
      <c r="E128" s="4"/>
      <c r="F128" s="4"/>
      <c r="H128" s="4"/>
      <c r="I128" s="4"/>
    </row>
    <row r="129">
      <c r="D129" s="4"/>
      <c r="E129" s="4"/>
      <c r="F129" s="4"/>
      <c r="H129" s="4"/>
      <c r="I129" s="4"/>
    </row>
    <row r="130">
      <c r="D130" s="4"/>
      <c r="E130" s="4"/>
      <c r="F130" s="4"/>
      <c r="H130" s="4"/>
      <c r="I130" s="4"/>
    </row>
    <row r="131">
      <c r="D131" s="4"/>
      <c r="E131" s="4"/>
      <c r="F131" s="4"/>
      <c r="H131" s="4"/>
      <c r="I131" s="4"/>
    </row>
    <row r="132">
      <c r="D132" s="4"/>
      <c r="E132" s="4"/>
      <c r="F132" s="4"/>
      <c r="H132" s="4"/>
      <c r="I132" s="4"/>
    </row>
    <row r="133">
      <c r="D133" s="4"/>
      <c r="E133" s="4"/>
      <c r="F133" s="4"/>
      <c r="H133" s="4"/>
      <c r="I133" s="4"/>
    </row>
    <row r="134">
      <c r="D134" s="4"/>
      <c r="E134" s="4"/>
      <c r="F134" s="4"/>
      <c r="H134" s="4"/>
      <c r="I134" s="4"/>
    </row>
    <row r="135">
      <c r="D135" s="4"/>
      <c r="E135" s="4"/>
      <c r="F135" s="4"/>
      <c r="H135" s="4"/>
      <c r="I135" s="4"/>
    </row>
    <row r="136">
      <c r="D136" s="4"/>
      <c r="E136" s="4"/>
      <c r="F136" s="4"/>
      <c r="H136" s="4"/>
      <c r="I136" s="4"/>
    </row>
    <row r="137">
      <c r="D137" s="4"/>
      <c r="E137" s="4"/>
      <c r="F137" s="4"/>
      <c r="H137" s="4"/>
      <c r="I137" s="4"/>
    </row>
    <row r="138">
      <c r="D138" s="4"/>
      <c r="E138" s="4"/>
      <c r="F138" s="4"/>
      <c r="H138" s="4"/>
      <c r="I138" s="4"/>
    </row>
    <row r="139">
      <c r="D139" s="4"/>
      <c r="E139" s="4"/>
      <c r="F139" s="4"/>
      <c r="H139" s="4"/>
      <c r="I139" s="4"/>
    </row>
    <row r="140">
      <c r="D140" s="4"/>
      <c r="E140" s="4"/>
      <c r="F140" s="4"/>
      <c r="H140" s="4"/>
      <c r="I140" s="4"/>
    </row>
    <row r="141">
      <c r="D141" s="4"/>
      <c r="E141" s="4"/>
      <c r="F141" s="4"/>
      <c r="H141" s="4"/>
      <c r="I141" s="4"/>
    </row>
    <row r="142">
      <c r="D142" s="4"/>
      <c r="E142" s="4"/>
      <c r="F142" s="4"/>
      <c r="H142" s="4"/>
      <c r="I142" s="4"/>
    </row>
    <row r="143">
      <c r="D143" s="4"/>
      <c r="E143" s="4"/>
      <c r="F143" s="4"/>
      <c r="H143" s="4"/>
      <c r="I143" s="4"/>
    </row>
    <row r="144">
      <c r="D144" s="4"/>
      <c r="E144" s="4"/>
      <c r="F144" s="4"/>
      <c r="H144" s="4"/>
      <c r="I144" s="4"/>
    </row>
    <row r="145">
      <c r="D145" s="4"/>
      <c r="E145" s="4"/>
      <c r="F145" s="4"/>
      <c r="H145" s="4"/>
      <c r="I145" s="4"/>
    </row>
    <row r="146">
      <c r="D146" s="4"/>
      <c r="E146" s="4"/>
      <c r="F146" s="4"/>
      <c r="H146" s="4"/>
      <c r="I146" s="4"/>
    </row>
    <row r="147">
      <c r="D147" s="4"/>
      <c r="E147" s="4"/>
      <c r="F147" s="4"/>
      <c r="H147" s="4"/>
      <c r="I147" s="4"/>
    </row>
    <row r="148">
      <c r="D148" s="4"/>
      <c r="E148" s="4"/>
      <c r="F148" s="4"/>
      <c r="H148" s="4"/>
      <c r="I148" s="4"/>
    </row>
    <row r="149">
      <c r="D149" s="4"/>
      <c r="E149" s="4"/>
      <c r="F149" s="4"/>
      <c r="H149" s="4"/>
      <c r="I149" s="4"/>
    </row>
    <row r="150">
      <c r="D150" s="4"/>
      <c r="E150" s="4"/>
      <c r="F150" s="4"/>
      <c r="H150" s="4"/>
      <c r="I150" s="4"/>
    </row>
    <row r="151">
      <c r="D151" s="4"/>
      <c r="E151" s="4"/>
      <c r="F151" s="4"/>
      <c r="H151" s="4"/>
      <c r="I151" s="4"/>
    </row>
    <row r="152">
      <c r="D152" s="4"/>
      <c r="E152" s="4"/>
      <c r="F152" s="4"/>
      <c r="H152" s="4"/>
      <c r="I152" s="4"/>
    </row>
    <row r="153">
      <c r="D153" s="4"/>
      <c r="E153" s="4"/>
      <c r="F153" s="4"/>
      <c r="H153" s="4"/>
      <c r="I153" s="4"/>
    </row>
    <row r="154">
      <c r="D154" s="4"/>
      <c r="E154" s="4"/>
      <c r="F154" s="4"/>
      <c r="H154" s="4"/>
      <c r="I154" s="4"/>
    </row>
    <row r="155">
      <c r="D155" s="4"/>
      <c r="E155" s="4"/>
      <c r="F155" s="4"/>
      <c r="H155" s="4"/>
      <c r="I155" s="4"/>
    </row>
    <row r="156">
      <c r="D156" s="4"/>
      <c r="E156" s="4"/>
      <c r="F156" s="4"/>
      <c r="H156" s="4"/>
      <c r="I156" s="4"/>
    </row>
    <row r="157">
      <c r="D157" s="4"/>
      <c r="E157" s="4"/>
      <c r="F157" s="4"/>
      <c r="H157" s="4"/>
      <c r="I157" s="4"/>
    </row>
    <row r="158">
      <c r="D158" s="4"/>
      <c r="E158" s="4"/>
      <c r="F158" s="4"/>
      <c r="H158" s="4"/>
      <c r="I158" s="4"/>
    </row>
    <row r="159">
      <c r="D159" s="4"/>
      <c r="E159" s="4"/>
      <c r="F159" s="4"/>
      <c r="H159" s="4"/>
      <c r="I159" s="4"/>
    </row>
    <row r="160">
      <c r="D160" s="4"/>
      <c r="E160" s="4"/>
      <c r="F160" s="4"/>
      <c r="H160" s="4"/>
      <c r="I160" s="4"/>
    </row>
    <row r="161">
      <c r="D161" s="4"/>
      <c r="E161" s="4"/>
      <c r="F161" s="4"/>
      <c r="H161" s="4"/>
      <c r="I161" s="4"/>
    </row>
    <row r="162">
      <c r="D162" s="4"/>
      <c r="E162" s="4"/>
      <c r="F162" s="4"/>
      <c r="H162" s="4"/>
      <c r="I162" s="4"/>
    </row>
    <row r="163">
      <c r="D163" s="4"/>
      <c r="E163" s="4"/>
      <c r="F163" s="4"/>
      <c r="H163" s="4"/>
      <c r="I163" s="4"/>
    </row>
    <row r="164">
      <c r="D164" s="4"/>
      <c r="E164" s="4"/>
      <c r="F164" s="4"/>
      <c r="H164" s="4"/>
      <c r="I164" s="4"/>
    </row>
    <row r="165">
      <c r="D165" s="4"/>
      <c r="E165" s="4"/>
      <c r="F165" s="4"/>
      <c r="H165" s="4"/>
      <c r="I165" s="4"/>
    </row>
    <row r="166">
      <c r="D166" s="4"/>
      <c r="E166" s="4"/>
      <c r="F166" s="4"/>
      <c r="H166" s="4"/>
      <c r="I166" s="4"/>
    </row>
    <row r="167">
      <c r="D167" s="4"/>
      <c r="E167" s="4"/>
      <c r="F167" s="4"/>
      <c r="H167" s="4"/>
      <c r="I167" s="4"/>
    </row>
    <row r="168">
      <c r="D168" s="4"/>
      <c r="E168" s="4"/>
      <c r="F168" s="4"/>
      <c r="H168" s="4"/>
      <c r="I168" s="4"/>
    </row>
    <row r="169">
      <c r="D169" s="4"/>
      <c r="E169" s="4"/>
      <c r="F169" s="4"/>
      <c r="H169" s="4"/>
      <c r="I169" s="4"/>
    </row>
    <row r="170">
      <c r="D170" s="4"/>
      <c r="E170" s="4"/>
      <c r="F170" s="4"/>
      <c r="H170" s="4"/>
      <c r="I170" s="4"/>
    </row>
    <row r="171">
      <c r="D171" s="4"/>
      <c r="E171" s="4"/>
      <c r="F171" s="4"/>
      <c r="H171" s="4"/>
      <c r="I171" s="4"/>
    </row>
    <row r="172">
      <c r="D172" s="4"/>
      <c r="E172" s="4"/>
      <c r="F172" s="4"/>
      <c r="H172" s="4"/>
      <c r="I172" s="4"/>
    </row>
    <row r="173">
      <c r="D173" s="4"/>
      <c r="E173" s="4"/>
      <c r="F173" s="4"/>
      <c r="H173" s="4"/>
      <c r="I173" s="4"/>
    </row>
    <row r="174">
      <c r="D174" s="4"/>
      <c r="E174" s="4"/>
      <c r="F174" s="4"/>
      <c r="H174" s="4"/>
      <c r="I174" s="4"/>
    </row>
    <row r="175">
      <c r="D175" s="4"/>
      <c r="E175" s="4"/>
      <c r="F175" s="4"/>
      <c r="H175" s="4"/>
      <c r="I175" s="4"/>
    </row>
    <row r="176">
      <c r="D176" s="4"/>
      <c r="E176" s="4"/>
      <c r="F176" s="4"/>
      <c r="H176" s="4"/>
      <c r="I176" s="4"/>
    </row>
    <row r="177">
      <c r="D177" s="4"/>
      <c r="E177" s="4"/>
      <c r="F177" s="4"/>
      <c r="H177" s="4"/>
      <c r="I177" s="4"/>
    </row>
    <row r="178">
      <c r="D178" s="4"/>
      <c r="E178" s="4"/>
      <c r="F178" s="4"/>
      <c r="H178" s="4"/>
      <c r="I178" s="4"/>
    </row>
    <row r="179">
      <c r="D179" s="4"/>
      <c r="E179" s="4"/>
      <c r="F179" s="4"/>
      <c r="H179" s="4"/>
      <c r="I179" s="4"/>
    </row>
    <row r="180">
      <c r="D180" s="4"/>
      <c r="E180" s="4"/>
      <c r="F180" s="4"/>
      <c r="H180" s="4"/>
      <c r="I180" s="4"/>
    </row>
    <row r="181">
      <c r="D181" s="4"/>
      <c r="E181" s="4"/>
      <c r="F181" s="4"/>
      <c r="H181" s="4"/>
      <c r="I181" s="4"/>
    </row>
    <row r="182">
      <c r="D182" s="4"/>
      <c r="E182" s="4"/>
      <c r="F182" s="4"/>
      <c r="H182" s="4"/>
      <c r="I182" s="4"/>
    </row>
    <row r="183">
      <c r="D183" s="4"/>
      <c r="E183" s="4"/>
      <c r="F183" s="4"/>
      <c r="H183" s="4"/>
      <c r="I183" s="4"/>
    </row>
    <row r="184">
      <c r="D184" s="4"/>
      <c r="E184" s="4"/>
      <c r="F184" s="4"/>
      <c r="H184" s="4"/>
      <c r="I184" s="4"/>
    </row>
    <row r="185">
      <c r="D185" s="4"/>
      <c r="E185" s="4"/>
      <c r="F185" s="4"/>
      <c r="H185" s="4"/>
      <c r="I185" s="4"/>
    </row>
    <row r="186">
      <c r="D186" s="4"/>
      <c r="E186" s="4"/>
      <c r="F186" s="4"/>
      <c r="H186" s="4"/>
      <c r="I186" s="4"/>
    </row>
    <row r="187">
      <c r="D187" s="4"/>
      <c r="E187" s="4"/>
      <c r="F187" s="4"/>
      <c r="H187" s="4"/>
      <c r="I187" s="4"/>
    </row>
    <row r="188">
      <c r="D188" s="4"/>
      <c r="E188" s="4"/>
      <c r="F188" s="4"/>
      <c r="H188" s="4"/>
      <c r="I188" s="4"/>
    </row>
    <row r="189">
      <c r="D189" s="4"/>
      <c r="E189" s="4"/>
      <c r="F189" s="4"/>
      <c r="H189" s="4"/>
      <c r="I189" s="4"/>
    </row>
    <row r="190">
      <c r="D190" s="4"/>
      <c r="E190" s="4"/>
      <c r="F190" s="4"/>
      <c r="H190" s="4"/>
      <c r="I190" s="4"/>
    </row>
    <row r="191">
      <c r="D191" s="4"/>
      <c r="E191" s="4"/>
      <c r="F191" s="4"/>
      <c r="H191" s="4"/>
      <c r="I191" s="4"/>
    </row>
    <row r="192">
      <c r="D192" s="4"/>
      <c r="E192" s="4"/>
      <c r="F192" s="4"/>
      <c r="H192" s="4"/>
      <c r="I192" s="4"/>
    </row>
    <row r="193">
      <c r="D193" s="4"/>
      <c r="E193" s="4"/>
      <c r="F193" s="4"/>
      <c r="H193" s="4"/>
      <c r="I193" s="4"/>
    </row>
    <row r="194">
      <c r="D194" s="4"/>
      <c r="E194" s="4"/>
      <c r="F194" s="4"/>
      <c r="H194" s="4"/>
      <c r="I194" s="4"/>
    </row>
    <row r="195">
      <c r="D195" s="4"/>
      <c r="E195" s="4"/>
      <c r="F195" s="4"/>
      <c r="H195" s="4"/>
      <c r="I195" s="4"/>
    </row>
    <row r="196">
      <c r="D196" s="4"/>
      <c r="E196" s="4"/>
      <c r="F196" s="4"/>
      <c r="H196" s="4"/>
      <c r="I196" s="4"/>
    </row>
    <row r="197">
      <c r="D197" s="4"/>
      <c r="E197" s="4"/>
      <c r="F197" s="4"/>
      <c r="H197" s="4"/>
      <c r="I197" s="4"/>
    </row>
    <row r="198">
      <c r="D198" s="4"/>
      <c r="E198" s="4"/>
      <c r="F198" s="4"/>
      <c r="H198" s="4"/>
      <c r="I198" s="4"/>
    </row>
    <row r="199">
      <c r="D199" s="4"/>
      <c r="E199" s="4"/>
      <c r="F199" s="4"/>
      <c r="H199" s="4"/>
      <c r="I199" s="4"/>
    </row>
    <row r="200">
      <c r="D200" s="4"/>
      <c r="E200" s="4"/>
      <c r="F200" s="4"/>
      <c r="H200" s="4"/>
      <c r="I200" s="4"/>
    </row>
    <row r="201">
      <c r="D201" s="4"/>
      <c r="E201" s="4"/>
      <c r="F201" s="4"/>
      <c r="H201" s="4"/>
      <c r="I201" s="4"/>
    </row>
    <row r="202">
      <c r="D202" s="4"/>
      <c r="E202" s="4"/>
      <c r="F202" s="4"/>
      <c r="H202" s="4"/>
      <c r="I202" s="4"/>
    </row>
    <row r="203">
      <c r="D203" s="4"/>
      <c r="E203" s="4"/>
      <c r="F203" s="4"/>
      <c r="H203" s="4"/>
      <c r="I203" s="4"/>
    </row>
    <row r="204">
      <c r="D204" s="4"/>
      <c r="E204" s="4"/>
      <c r="F204" s="4"/>
      <c r="H204" s="4"/>
      <c r="I204" s="4"/>
    </row>
    <row r="205">
      <c r="D205" s="4"/>
      <c r="E205" s="4"/>
      <c r="F205" s="4"/>
      <c r="H205" s="4"/>
      <c r="I205" s="4"/>
    </row>
    <row r="206">
      <c r="D206" s="4"/>
      <c r="E206" s="4"/>
      <c r="F206" s="4"/>
      <c r="H206" s="4"/>
      <c r="I206" s="4"/>
    </row>
    <row r="207">
      <c r="D207" s="4"/>
      <c r="E207" s="4"/>
      <c r="F207" s="4"/>
      <c r="H207" s="4"/>
      <c r="I207" s="4"/>
    </row>
    <row r="208">
      <c r="D208" s="4"/>
      <c r="E208" s="4"/>
      <c r="F208" s="4"/>
      <c r="H208" s="4"/>
      <c r="I208" s="4"/>
    </row>
    <row r="209">
      <c r="D209" s="4"/>
      <c r="E209" s="4"/>
      <c r="F209" s="4"/>
      <c r="H209" s="4"/>
      <c r="I209" s="4"/>
    </row>
    <row r="210">
      <c r="D210" s="4"/>
      <c r="E210" s="4"/>
      <c r="F210" s="4"/>
      <c r="H210" s="4"/>
      <c r="I210" s="4"/>
    </row>
    <row r="211">
      <c r="D211" s="4"/>
      <c r="E211" s="4"/>
      <c r="F211" s="4"/>
      <c r="H211" s="4"/>
      <c r="I211" s="4"/>
    </row>
    <row r="212">
      <c r="D212" s="4"/>
      <c r="E212" s="4"/>
      <c r="F212" s="4"/>
      <c r="H212" s="4"/>
      <c r="I212" s="4"/>
    </row>
    <row r="213">
      <c r="D213" s="4"/>
      <c r="E213" s="4"/>
      <c r="F213" s="4"/>
      <c r="H213" s="4"/>
      <c r="I213" s="4"/>
    </row>
    <row r="214">
      <c r="D214" s="4"/>
      <c r="E214" s="4"/>
      <c r="F214" s="4"/>
      <c r="H214" s="4"/>
      <c r="I214" s="4"/>
    </row>
    <row r="215">
      <c r="D215" s="4"/>
      <c r="E215" s="4"/>
      <c r="F215" s="4"/>
      <c r="H215" s="4"/>
      <c r="I215" s="4"/>
    </row>
    <row r="216">
      <c r="D216" s="4"/>
      <c r="E216" s="4"/>
      <c r="F216" s="4"/>
      <c r="H216" s="4"/>
      <c r="I216" s="4"/>
    </row>
    <row r="217">
      <c r="D217" s="4"/>
      <c r="E217" s="4"/>
      <c r="F217" s="4"/>
      <c r="H217" s="4"/>
      <c r="I217" s="4"/>
    </row>
    <row r="218">
      <c r="D218" s="4"/>
      <c r="E218" s="4"/>
      <c r="F218" s="4"/>
      <c r="H218" s="4"/>
      <c r="I218" s="4"/>
    </row>
    <row r="219">
      <c r="D219" s="4"/>
      <c r="E219" s="4"/>
      <c r="F219" s="4"/>
      <c r="H219" s="4"/>
      <c r="I219" s="4"/>
    </row>
    <row r="220">
      <c r="D220" s="4"/>
      <c r="E220" s="4"/>
      <c r="F220" s="4"/>
      <c r="H220" s="4"/>
      <c r="I220" s="4"/>
    </row>
    <row r="221">
      <c r="D221" s="4"/>
      <c r="E221" s="4"/>
      <c r="F221" s="4"/>
      <c r="H221" s="4"/>
      <c r="I221" s="4"/>
    </row>
    <row r="222">
      <c r="D222" s="4"/>
      <c r="E222" s="4"/>
      <c r="F222" s="4"/>
      <c r="H222" s="4"/>
      <c r="I222" s="4"/>
    </row>
    <row r="223">
      <c r="D223" s="4"/>
      <c r="E223" s="4"/>
      <c r="F223" s="4"/>
      <c r="H223" s="4"/>
      <c r="I223" s="4"/>
    </row>
    <row r="224">
      <c r="D224" s="4"/>
      <c r="E224" s="4"/>
      <c r="F224" s="4"/>
      <c r="H224" s="4"/>
      <c r="I224" s="4"/>
    </row>
    <row r="225">
      <c r="D225" s="4"/>
      <c r="E225" s="4"/>
      <c r="F225" s="4"/>
      <c r="H225" s="4"/>
      <c r="I225" s="4"/>
    </row>
    <row r="226">
      <c r="D226" s="4"/>
      <c r="E226" s="4"/>
      <c r="F226" s="4"/>
      <c r="H226" s="4"/>
      <c r="I226" s="4"/>
    </row>
    <row r="227">
      <c r="D227" s="4"/>
      <c r="E227" s="4"/>
      <c r="F227" s="4"/>
      <c r="H227" s="4"/>
      <c r="I227" s="4"/>
    </row>
    <row r="228">
      <c r="D228" s="4"/>
      <c r="E228" s="4"/>
      <c r="F228" s="4"/>
      <c r="H228" s="4"/>
      <c r="I228" s="4"/>
    </row>
    <row r="229">
      <c r="D229" s="4"/>
      <c r="E229" s="4"/>
      <c r="F229" s="4"/>
      <c r="H229" s="4"/>
      <c r="I229" s="4"/>
    </row>
    <row r="230">
      <c r="D230" s="4"/>
      <c r="E230" s="4"/>
      <c r="F230" s="4"/>
      <c r="H230" s="4"/>
      <c r="I230" s="4"/>
    </row>
    <row r="231">
      <c r="D231" s="4"/>
      <c r="E231" s="4"/>
      <c r="F231" s="4"/>
      <c r="H231" s="4"/>
      <c r="I231" s="4"/>
    </row>
    <row r="232">
      <c r="D232" s="4"/>
      <c r="E232" s="4"/>
      <c r="F232" s="4"/>
      <c r="H232" s="4"/>
      <c r="I232" s="4"/>
    </row>
    <row r="233">
      <c r="D233" s="4"/>
      <c r="E233" s="4"/>
      <c r="F233" s="4"/>
      <c r="H233" s="4"/>
      <c r="I233" s="4"/>
    </row>
    <row r="234">
      <c r="D234" s="4"/>
      <c r="E234" s="4"/>
      <c r="F234" s="4"/>
      <c r="H234" s="4"/>
      <c r="I234" s="4"/>
    </row>
    <row r="235">
      <c r="D235" s="4"/>
      <c r="E235" s="4"/>
      <c r="F235" s="4"/>
      <c r="H235" s="4"/>
      <c r="I235" s="4"/>
    </row>
    <row r="236">
      <c r="D236" s="4"/>
      <c r="E236" s="4"/>
      <c r="F236" s="4"/>
      <c r="H236" s="4"/>
      <c r="I236" s="4"/>
    </row>
    <row r="237">
      <c r="D237" s="4"/>
      <c r="E237" s="4"/>
      <c r="F237" s="4"/>
      <c r="H237" s="4"/>
      <c r="I237" s="4"/>
    </row>
    <row r="238">
      <c r="D238" s="4"/>
      <c r="E238" s="4"/>
      <c r="F238" s="4"/>
      <c r="H238" s="4"/>
      <c r="I238" s="4"/>
    </row>
    <row r="239">
      <c r="D239" s="4"/>
      <c r="E239" s="4"/>
      <c r="F239" s="4"/>
      <c r="H239" s="4"/>
      <c r="I239" s="4"/>
    </row>
    <row r="240">
      <c r="D240" s="4"/>
      <c r="E240" s="4"/>
      <c r="F240" s="4"/>
      <c r="H240" s="4"/>
      <c r="I240" s="4"/>
    </row>
    <row r="241">
      <c r="D241" s="4"/>
      <c r="E241" s="4"/>
      <c r="F241" s="4"/>
      <c r="H241" s="4"/>
      <c r="I241" s="4"/>
    </row>
    <row r="242">
      <c r="D242" s="4"/>
      <c r="E242" s="4"/>
      <c r="F242" s="4"/>
      <c r="H242" s="4"/>
      <c r="I242" s="4"/>
    </row>
    <row r="243">
      <c r="D243" s="4"/>
      <c r="E243" s="4"/>
      <c r="F243" s="4"/>
      <c r="H243" s="4"/>
      <c r="I243" s="4"/>
    </row>
    <row r="244">
      <c r="D244" s="4"/>
      <c r="E244" s="4"/>
      <c r="F244" s="4"/>
      <c r="H244" s="4"/>
      <c r="I244" s="4"/>
    </row>
    <row r="245">
      <c r="D245" s="4"/>
      <c r="E245" s="4"/>
      <c r="F245" s="4"/>
      <c r="H245" s="4"/>
      <c r="I245" s="4"/>
    </row>
    <row r="246">
      <c r="D246" s="4"/>
      <c r="E246" s="4"/>
      <c r="F246" s="4"/>
      <c r="H246" s="4"/>
      <c r="I246" s="4"/>
    </row>
    <row r="247">
      <c r="D247" s="4"/>
      <c r="E247" s="4"/>
      <c r="F247" s="4"/>
      <c r="H247" s="4"/>
      <c r="I247" s="4"/>
    </row>
    <row r="248">
      <c r="D248" s="4"/>
      <c r="E248" s="4"/>
      <c r="F248" s="4"/>
      <c r="H248" s="4"/>
      <c r="I248" s="4"/>
    </row>
    <row r="249">
      <c r="D249" s="4"/>
      <c r="E249" s="4"/>
      <c r="F249" s="4"/>
      <c r="H249" s="4"/>
      <c r="I249" s="4"/>
    </row>
    <row r="250">
      <c r="D250" s="4"/>
      <c r="E250" s="4"/>
      <c r="F250" s="4"/>
      <c r="H250" s="4"/>
      <c r="I250" s="4"/>
    </row>
    <row r="251">
      <c r="D251" s="4"/>
      <c r="E251" s="4"/>
      <c r="F251" s="4"/>
      <c r="H251" s="4"/>
      <c r="I251" s="4"/>
    </row>
    <row r="252">
      <c r="D252" s="4"/>
      <c r="E252" s="4"/>
      <c r="F252" s="4"/>
      <c r="H252" s="4"/>
      <c r="I252" s="4"/>
    </row>
    <row r="253">
      <c r="D253" s="4"/>
      <c r="E253" s="4"/>
      <c r="F253" s="4"/>
      <c r="H253" s="4"/>
      <c r="I253" s="4"/>
    </row>
    <row r="254">
      <c r="D254" s="4"/>
      <c r="E254" s="4"/>
      <c r="F254" s="4"/>
      <c r="H254" s="4"/>
      <c r="I254" s="4"/>
    </row>
    <row r="255">
      <c r="D255" s="4"/>
      <c r="E255" s="4"/>
      <c r="F255" s="4"/>
      <c r="H255" s="4"/>
      <c r="I255" s="4"/>
    </row>
    <row r="256">
      <c r="D256" s="4"/>
      <c r="E256" s="4"/>
      <c r="F256" s="4"/>
      <c r="H256" s="4"/>
      <c r="I256" s="4"/>
    </row>
    <row r="257">
      <c r="D257" s="4"/>
      <c r="E257" s="4"/>
      <c r="F257" s="4"/>
      <c r="H257" s="4"/>
      <c r="I257" s="4"/>
    </row>
    <row r="258">
      <c r="D258" s="4"/>
      <c r="E258" s="4"/>
      <c r="F258" s="4"/>
      <c r="H258" s="4"/>
      <c r="I258" s="4"/>
    </row>
    <row r="259">
      <c r="D259" s="4"/>
      <c r="E259" s="4"/>
      <c r="F259" s="4"/>
      <c r="H259" s="4"/>
      <c r="I259" s="4"/>
    </row>
    <row r="260">
      <c r="D260" s="4"/>
      <c r="E260" s="4"/>
      <c r="F260" s="4"/>
      <c r="H260" s="4"/>
      <c r="I260" s="4"/>
    </row>
    <row r="261">
      <c r="D261" s="4"/>
      <c r="E261" s="4"/>
      <c r="F261" s="4"/>
      <c r="H261" s="4"/>
      <c r="I261" s="4"/>
    </row>
    <row r="262">
      <c r="D262" s="4"/>
      <c r="E262" s="4"/>
      <c r="F262" s="4"/>
      <c r="H262" s="4"/>
      <c r="I262" s="4"/>
    </row>
    <row r="263">
      <c r="D263" s="4"/>
      <c r="E263" s="4"/>
      <c r="F263" s="4"/>
      <c r="H263" s="4"/>
      <c r="I263" s="4"/>
    </row>
    <row r="264">
      <c r="D264" s="4"/>
      <c r="E264" s="4"/>
      <c r="F264" s="4"/>
      <c r="H264" s="4"/>
      <c r="I264" s="4"/>
    </row>
    <row r="265">
      <c r="D265" s="4"/>
      <c r="E265" s="4"/>
      <c r="F265" s="4"/>
      <c r="H265" s="4"/>
      <c r="I265" s="4"/>
    </row>
    <row r="266">
      <c r="D266" s="4"/>
      <c r="E266" s="4"/>
      <c r="F266" s="4"/>
      <c r="H266" s="4"/>
      <c r="I266" s="4"/>
    </row>
    <row r="267">
      <c r="D267" s="4"/>
      <c r="E267" s="4"/>
      <c r="F267" s="4"/>
      <c r="H267" s="4"/>
      <c r="I267" s="4"/>
    </row>
    <row r="268">
      <c r="D268" s="4"/>
      <c r="E268" s="4"/>
      <c r="F268" s="4"/>
      <c r="H268" s="4"/>
      <c r="I268" s="4"/>
    </row>
    <row r="269">
      <c r="D269" s="4"/>
      <c r="E269" s="4"/>
      <c r="F269" s="4"/>
      <c r="H269" s="4"/>
      <c r="I269" s="4"/>
    </row>
    <row r="270">
      <c r="D270" s="4"/>
      <c r="E270" s="4"/>
      <c r="F270" s="4"/>
      <c r="H270" s="4"/>
      <c r="I270" s="4"/>
    </row>
    <row r="271">
      <c r="D271" s="4"/>
      <c r="E271" s="4"/>
      <c r="F271" s="4"/>
      <c r="H271" s="4"/>
      <c r="I271" s="4"/>
    </row>
    <row r="272">
      <c r="D272" s="4"/>
      <c r="E272" s="4"/>
      <c r="F272" s="4"/>
      <c r="H272" s="4"/>
      <c r="I272" s="4"/>
    </row>
    <row r="273">
      <c r="D273" s="4"/>
      <c r="E273" s="4"/>
      <c r="F273" s="4"/>
      <c r="H273" s="4"/>
      <c r="I273" s="4"/>
    </row>
    <row r="274">
      <c r="D274" s="4"/>
      <c r="E274" s="4"/>
      <c r="F274" s="4"/>
      <c r="H274" s="4"/>
      <c r="I274" s="4"/>
    </row>
    <row r="275">
      <c r="D275" s="4"/>
      <c r="E275" s="4"/>
      <c r="F275" s="4"/>
      <c r="H275" s="4"/>
      <c r="I275" s="4"/>
    </row>
    <row r="276">
      <c r="D276" s="4"/>
      <c r="E276" s="4"/>
      <c r="F276" s="4"/>
      <c r="H276" s="4"/>
      <c r="I276" s="4"/>
    </row>
    <row r="277">
      <c r="D277" s="4"/>
      <c r="E277" s="4"/>
      <c r="F277" s="4"/>
      <c r="H277" s="4"/>
      <c r="I277" s="4"/>
    </row>
    <row r="278">
      <c r="D278" s="4"/>
      <c r="E278" s="4"/>
      <c r="F278" s="4"/>
      <c r="H278" s="4"/>
      <c r="I278" s="4"/>
    </row>
    <row r="279">
      <c r="D279" s="4"/>
      <c r="E279" s="4"/>
      <c r="F279" s="4"/>
      <c r="H279" s="4"/>
      <c r="I279" s="4"/>
    </row>
    <row r="280">
      <c r="D280" s="4"/>
      <c r="E280" s="4"/>
      <c r="F280" s="4"/>
      <c r="H280" s="4"/>
      <c r="I280" s="4"/>
    </row>
    <row r="281">
      <c r="D281" s="4"/>
      <c r="E281" s="4"/>
      <c r="F281" s="4"/>
      <c r="H281" s="4"/>
      <c r="I281" s="4"/>
    </row>
    <row r="282">
      <c r="D282" s="4"/>
      <c r="E282" s="4"/>
      <c r="F282" s="4"/>
      <c r="H282" s="4"/>
      <c r="I282" s="4"/>
    </row>
    <row r="283">
      <c r="D283" s="4"/>
      <c r="E283" s="4"/>
      <c r="F283" s="4"/>
      <c r="H283" s="4"/>
      <c r="I283" s="4"/>
    </row>
    <row r="284">
      <c r="D284" s="4"/>
      <c r="E284" s="4"/>
      <c r="F284" s="4"/>
      <c r="H284" s="4"/>
      <c r="I284" s="4"/>
    </row>
    <row r="285">
      <c r="D285" s="4"/>
      <c r="E285" s="4"/>
      <c r="F285" s="4"/>
      <c r="H285" s="4"/>
      <c r="I285" s="4"/>
    </row>
    <row r="286">
      <c r="D286" s="4"/>
      <c r="E286" s="4"/>
      <c r="F286" s="4"/>
      <c r="H286" s="4"/>
      <c r="I286" s="4"/>
    </row>
    <row r="287">
      <c r="D287" s="4"/>
      <c r="E287" s="4"/>
      <c r="F287" s="4"/>
      <c r="H287" s="4"/>
      <c r="I287" s="4"/>
    </row>
    <row r="288">
      <c r="D288" s="4"/>
      <c r="E288" s="4"/>
      <c r="F288" s="4"/>
      <c r="H288" s="4"/>
      <c r="I288" s="4"/>
    </row>
    <row r="289">
      <c r="D289" s="4"/>
      <c r="E289" s="4"/>
      <c r="F289" s="4"/>
      <c r="H289" s="4"/>
      <c r="I289" s="4"/>
    </row>
    <row r="290">
      <c r="D290" s="4"/>
      <c r="E290" s="4"/>
      <c r="F290" s="4"/>
      <c r="H290" s="4"/>
      <c r="I290" s="4"/>
    </row>
    <row r="291">
      <c r="D291" s="4"/>
      <c r="E291" s="4"/>
      <c r="F291" s="4"/>
      <c r="H291" s="4"/>
      <c r="I291" s="4"/>
    </row>
    <row r="292">
      <c r="D292" s="4"/>
      <c r="E292" s="4"/>
      <c r="F292" s="4"/>
      <c r="H292" s="4"/>
      <c r="I292" s="4"/>
    </row>
    <row r="293">
      <c r="D293" s="4"/>
      <c r="E293" s="4"/>
      <c r="F293" s="4"/>
      <c r="H293" s="4"/>
      <c r="I293" s="4"/>
    </row>
    <row r="294">
      <c r="D294" s="4"/>
      <c r="E294" s="4"/>
      <c r="F294" s="4"/>
      <c r="H294" s="4"/>
      <c r="I294" s="4"/>
    </row>
    <row r="295">
      <c r="D295" s="4"/>
      <c r="E295" s="4"/>
      <c r="F295" s="4"/>
      <c r="H295" s="4"/>
      <c r="I295" s="4"/>
    </row>
    <row r="296">
      <c r="D296" s="4"/>
      <c r="E296" s="4"/>
      <c r="F296" s="4"/>
      <c r="H296" s="4"/>
      <c r="I296" s="4"/>
    </row>
    <row r="297">
      <c r="D297" s="4"/>
      <c r="E297" s="4"/>
      <c r="F297" s="4"/>
      <c r="H297" s="4"/>
      <c r="I297" s="4"/>
    </row>
    <row r="298">
      <c r="D298" s="4"/>
      <c r="E298" s="4"/>
      <c r="F298" s="4"/>
      <c r="H298" s="4"/>
      <c r="I298" s="4"/>
    </row>
    <row r="299">
      <c r="D299" s="4"/>
      <c r="E299" s="4"/>
      <c r="F299" s="4"/>
      <c r="H299" s="4"/>
      <c r="I299" s="4"/>
    </row>
    <row r="300">
      <c r="D300" s="4"/>
      <c r="E300" s="4"/>
      <c r="F300" s="4"/>
      <c r="H300" s="4"/>
      <c r="I300" s="4"/>
    </row>
    <row r="301">
      <c r="D301" s="4"/>
      <c r="E301" s="4"/>
      <c r="F301" s="4"/>
      <c r="H301" s="4"/>
      <c r="I301" s="4"/>
    </row>
    <row r="302">
      <c r="D302" s="4"/>
      <c r="E302" s="4"/>
      <c r="F302" s="4"/>
      <c r="H302" s="4"/>
      <c r="I302" s="4"/>
    </row>
    <row r="303">
      <c r="D303" s="4"/>
      <c r="E303" s="4"/>
      <c r="F303" s="4"/>
      <c r="H303" s="4"/>
      <c r="I303" s="4"/>
    </row>
    <row r="304">
      <c r="D304" s="4"/>
      <c r="E304" s="4"/>
      <c r="F304" s="4"/>
      <c r="H304" s="4"/>
      <c r="I304" s="4"/>
    </row>
    <row r="305">
      <c r="D305" s="4"/>
      <c r="E305" s="4"/>
      <c r="F305" s="4"/>
      <c r="H305" s="4"/>
      <c r="I305" s="4"/>
    </row>
    <row r="306">
      <c r="D306" s="4"/>
      <c r="E306" s="4"/>
      <c r="F306" s="4"/>
      <c r="H306" s="4"/>
      <c r="I306" s="4"/>
    </row>
    <row r="307">
      <c r="D307" s="4"/>
      <c r="E307" s="4"/>
      <c r="F307" s="4"/>
      <c r="H307" s="4"/>
      <c r="I307" s="4"/>
    </row>
    <row r="308">
      <c r="D308" s="4"/>
      <c r="E308" s="4"/>
      <c r="F308" s="4"/>
      <c r="H308" s="4"/>
      <c r="I308" s="4"/>
    </row>
    <row r="309">
      <c r="D309" s="4"/>
      <c r="E309" s="4"/>
      <c r="F309" s="4"/>
      <c r="H309" s="4"/>
      <c r="I309" s="4"/>
    </row>
    <row r="310">
      <c r="D310" s="4"/>
      <c r="E310" s="4"/>
      <c r="F310" s="4"/>
      <c r="H310" s="4"/>
      <c r="I310" s="4"/>
    </row>
    <row r="311">
      <c r="D311" s="4"/>
      <c r="E311" s="4"/>
      <c r="F311" s="4"/>
      <c r="H311" s="4"/>
      <c r="I311" s="4"/>
    </row>
    <row r="312">
      <c r="D312" s="4"/>
      <c r="E312" s="4"/>
      <c r="F312" s="4"/>
      <c r="H312" s="4"/>
      <c r="I312" s="4"/>
    </row>
    <row r="313">
      <c r="D313" s="4"/>
      <c r="E313" s="4"/>
      <c r="F313" s="4"/>
      <c r="H313" s="4"/>
      <c r="I313" s="4"/>
    </row>
    <row r="314">
      <c r="D314" s="4"/>
      <c r="E314" s="4"/>
      <c r="F314" s="4"/>
      <c r="H314" s="4"/>
      <c r="I314" s="4"/>
    </row>
    <row r="315">
      <c r="D315" s="4"/>
      <c r="E315" s="4"/>
      <c r="F315" s="4"/>
      <c r="H315" s="4"/>
      <c r="I315" s="4"/>
    </row>
    <row r="316">
      <c r="D316" s="4"/>
      <c r="E316" s="4"/>
      <c r="F316" s="4"/>
      <c r="H316" s="4"/>
      <c r="I316" s="4"/>
    </row>
    <row r="317">
      <c r="D317" s="4"/>
      <c r="E317" s="4"/>
      <c r="F317" s="4"/>
      <c r="H317" s="4"/>
      <c r="I317" s="4"/>
    </row>
    <row r="318">
      <c r="D318" s="4"/>
      <c r="E318" s="4"/>
      <c r="F318" s="4"/>
      <c r="H318" s="4"/>
      <c r="I318" s="4"/>
    </row>
    <row r="319">
      <c r="D319" s="4"/>
      <c r="E319" s="4"/>
      <c r="F319" s="4"/>
      <c r="H319" s="4"/>
      <c r="I319" s="4"/>
    </row>
    <row r="320">
      <c r="D320" s="4"/>
      <c r="E320" s="4"/>
      <c r="F320" s="4"/>
      <c r="H320" s="4"/>
      <c r="I320" s="4"/>
    </row>
    <row r="321">
      <c r="D321" s="4"/>
      <c r="E321" s="4"/>
      <c r="F321" s="4"/>
      <c r="H321" s="4"/>
      <c r="I321" s="4"/>
    </row>
    <row r="322">
      <c r="D322" s="4"/>
      <c r="E322" s="4"/>
      <c r="F322" s="4"/>
      <c r="H322" s="4"/>
      <c r="I322" s="4"/>
    </row>
    <row r="323">
      <c r="D323" s="4"/>
      <c r="E323" s="4"/>
      <c r="F323" s="4"/>
      <c r="H323" s="4"/>
      <c r="I323" s="4"/>
    </row>
    <row r="324">
      <c r="D324" s="4"/>
      <c r="E324" s="4"/>
      <c r="F324" s="4"/>
      <c r="H324" s="4"/>
      <c r="I324" s="4"/>
    </row>
    <row r="325">
      <c r="D325" s="4"/>
      <c r="E325" s="4"/>
      <c r="F325" s="4"/>
      <c r="H325" s="4"/>
      <c r="I325" s="4"/>
    </row>
    <row r="326">
      <c r="D326" s="4"/>
      <c r="E326" s="4"/>
      <c r="F326" s="4"/>
      <c r="H326" s="4"/>
      <c r="I326" s="4"/>
    </row>
    <row r="327">
      <c r="D327" s="4"/>
      <c r="E327" s="4"/>
      <c r="F327" s="4"/>
      <c r="H327" s="4"/>
      <c r="I327" s="4"/>
    </row>
    <row r="328">
      <c r="D328" s="4"/>
      <c r="E328" s="4"/>
      <c r="F328" s="4"/>
      <c r="H328" s="4"/>
      <c r="I328" s="4"/>
    </row>
    <row r="329">
      <c r="D329" s="4"/>
      <c r="E329" s="4"/>
      <c r="F329" s="4"/>
      <c r="H329" s="4"/>
      <c r="I329" s="4"/>
    </row>
    <row r="330">
      <c r="D330" s="4"/>
      <c r="E330" s="4"/>
      <c r="F330" s="4"/>
      <c r="H330" s="4"/>
      <c r="I330" s="4"/>
    </row>
    <row r="331">
      <c r="D331" s="4"/>
      <c r="E331" s="4"/>
      <c r="F331" s="4"/>
      <c r="H331" s="4"/>
      <c r="I331" s="4"/>
    </row>
    <row r="332">
      <c r="D332" s="4"/>
      <c r="E332" s="4"/>
      <c r="F332" s="4"/>
      <c r="H332" s="4"/>
      <c r="I332" s="4"/>
    </row>
    <row r="333">
      <c r="D333" s="4"/>
      <c r="E333" s="4"/>
      <c r="F333" s="4"/>
      <c r="H333" s="4"/>
      <c r="I333" s="4"/>
    </row>
    <row r="334">
      <c r="D334" s="4"/>
      <c r="E334" s="4"/>
      <c r="F334" s="4"/>
      <c r="H334" s="4"/>
      <c r="I334" s="4"/>
    </row>
    <row r="335">
      <c r="D335" s="4"/>
      <c r="E335" s="4"/>
      <c r="F335" s="4"/>
      <c r="H335" s="4"/>
      <c r="I335" s="4"/>
    </row>
    <row r="336">
      <c r="D336" s="4"/>
      <c r="E336" s="4"/>
      <c r="F336" s="4"/>
      <c r="H336" s="4"/>
      <c r="I336" s="4"/>
    </row>
    <row r="337">
      <c r="D337" s="4"/>
      <c r="E337" s="4"/>
      <c r="F337" s="4"/>
      <c r="H337" s="4"/>
      <c r="I337" s="4"/>
    </row>
    <row r="338">
      <c r="D338" s="4"/>
      <c r="E338" s="4"/>
      <c r="F338" s="4"/>
      <c r="H338" s="4"/>
      <c r="I338" s="4"/>
    </row>
    <row r="339">
      <c r="D339" s="4"/>
      <c r="E339" s="4"/>
      <c r="F339" s="4"/>
      <c r="H339" s="4"/>
      <c r="I339" s="4"/>
    </row>
    <row r="340">
      <c r="D340" s="4"/>
      <c r="E340" s="4"/>
      <c r="F340" s="4"/>
      <c r="H340" s="4"/>
      <c r="I340" s="4"/>
    </row>
    <row r="341">
      <c r="D341" s="4"/>
      <c r="E341" s="4"/>
      <c r="F341" s="4"/>
      <c r="H341" s="4"/>
      <c r="I341" s="4"/>
    </row>
    <row r="342">
      <c r="D342" s="4"/>
      <c r="E342" s="4"/>
      <c r="F342" s="4"/>
      <c r="H342" s="4"/>
      <c r="I342" s="4"/>
    </row>
    <row r="343">
      <c r="D343" s="4"/>
      <c r="E343" s="4"/>
      <c r="F343" s="4"/>
      <c r="H343" s="4"/>
      <c r="I343" s="4"/>
    </row>
    <row r="344">
      <c r="D344" s="4"/>
      <c r="E344" s="4"/>
      <c r="F344" s="4"/>
      <c r="H344" s="4"/>
      <c r="I344" s="4"/>
    </row>
    <row r="345">
      <c r="D345" s="4"/>
      <c r="E345" s="4"/>
      <c r="F345" s="4"/>
      <c r="H345" s="4"/>
      <c r="I345" s="4"/>
    </row>
    <row r="346">
      <c r="D346" s="4"/>
      <c r="E346" s="4"/>
      <c r="F346" s="4"/>
      <c r="H346" s="4"/>
      <c r="I346" s="4"/>
    </row>
    <row r="347">
      <c r="D347" s="4"/>
      <c r="E347" s="4"/>
      <c r="F347" s="4"/>
      <c r="H347" s="4"/>
      <c r="I347" s="4"/>
    </row>
    <row r="348">
      <c r="D348" s="4"/>
      <c r="E348" s="4"/>
      <c r="F348" s="4"/>
      <c r="H348" s="4"/>
      <c r="I348" s="4"/>
    </row>
    <row r="349">
      <c r="D349" s="4"/>
      <c r="E349" s="4"/>
      <c r="F349" s="4"/>
      <c r="H349" s="4"/>
      <c r="I349" s="4"/>
    </row>
    <row r="350">
      <c r="D350" s="4"/>
      <c r="E350" s="4"/>
      <c r="F350" s="4"/>
      <c r="H350" s="4"/>
      <c r="I350" s="4"/>
    </row>
    <row r="351">
      <c r="D351" s="4"/>
      <c r="E351" s="4"/>
      <c r="F351" s="4"/>
      <c r="H351" s="4"/>
      <c r="I351" s="4"/>
    </row>
    <row r="352">
      <c r="D352" s="4"/>
      <c r="E352" s="4"/>
      <c r="F352" s="4"/>
      <c r="H352" s="4"/>
      <c r="I352" s="4"/>
    </row>
    <row r="353">
      <c r="D353" s="4"/>
      <c r="E353" s="4"/>
      <c r="F353" s="4"/>
      <c r="H353" s="4"/>
      <c r="I353" s="4"/>
    </row>
    <row r="354">
      <c r="D354" s="4"/>
      <c r="E354" s="4"/>
      <c r="F354" s="4"/>
      <c r="H354" s="4"/>
      <c r="I354" s="4"/>
    </row>
    <row r="355">
      <c r="D355" s="4"/>
      <c r="E355" s="4"/>
      <c r="F355" s="4"/>
      <c r="H355" s="4"/>
      <c r="I355" s="4"/>
    </row>
    <row r="356">
      <c r="D356" s="4"/>
      <c r="E356" s="4"/>
      <c r="F356" s="4"/>
      <c r="H356" s="4"/>
      <c r="I356" s="4"/>
    </row>
    <row r="357">
      <c r="D357" s="4"/>
      <c r="E357" s="4"/>
      <c r="F357" s="4"/>
      <c r="H357" s="4"/>
      <c r="I357" s="4"/>
    </row>
    <row r="358">
      <c r="D358" s="4"/>
      <c r="E358" s="4"/>
      <c r="F358" s="4"/>
      <c r="H358" s="4"/>
      <c r="I358" s="4"/>
    </row>
    <row r="359">
      <c r="D359" s="4"/>
      <c r="E359" s="4"/>
      <c r="F359" s="4"/>
      <c r="H359" s="4"/>
      <c r="I359" s="4"/>
    </row>
    <row r="360">
      <c r="D360" s="4"/>
      <c r="E360" s="4"/>
      <c r="F360" s="4"/>
      <c r="H360" s="4"/>
      <c r="I360" s="4"/>
    </row>
    <row r="361">
      <c r="D361" s="4"/>
      <c r="E361" s="4"/>
      <c r="F361" s="4"/>
      <c r="H361" s="4"/>
      <c r="I361" s="4"/>
    </row>
    <row r="362">
      <c r="D362" s="4"/>
      <c r="E362" s="4"/>
      <c r="F362" s="4"/>
      <c r="H362" s="4"/>
      <c r="I362" s="4"/>
    </row>
    <row r="363">
      <c r="D363" s="4"/>
      <c r="E363" s="4"/>
      <c r="F363" s="4"/>
      <c r="H363" s="4"/>
      <c r="I363" s="4"/>
    </row>
    <row r="364">
      <c r="D364" s="4"/>
      <c r="E364" s="4"/>
      <c r="F364" s="4"/>
      <c r="H364" s="4"/>
      <c r="I364" s="4"/>
    </row>
    <row r="365">
      <c r="D365" s="4"/>
      <c r="E365" s="4"/>
      <c r="F365" s="4"/>
      <c r="H365" s="4"/>
      <c r="I365" s="4"/>
    </row>
    <row r="366">
      <c r="D366" s="4"/>
      <c r="E366" s="4"/>
      <c r="F366" s="4"/>
      <c r="H366" s="4"/>
      <c r="I366" s="4"/>
    </row>
    <row r="367">
      <c r="D367" s="4"/>
      <c r="E367" s="4"/>
      <c r="F367" s="4"/>
      <c r="H367" s="4"/>
      <c r="I367" s="4"/>
    </row>
    <row r="368">
      <c r="D368" s="4"/>
      <c r="E368" s="4"/>
      <c r="F368" s="4"/>
      <c r="H368" s="4"/>
      <c r="I368" s="4"/>
    </row>
    <row r="369">
      <c r="D369" s="4"/>
      <c r="E369" s="4"/>
      <c r="F369" s="4"/>
      <c r="H369" s="4"/>
      <c r="I369" s="4"/>
    </row>
    <row r="370">
      <c r="D370" s="4"/>
      <c r="E370" s="4"/>
      <c r="F370" s="4"/>
      <c r="H370" s="4"/>
      <c r="I370" s="4"/>
    </row>
    <row r="371">
      <c r="D371" s="4"/>
      <c r="E371" s="4"/>
      <c r="F371" s="4"/>
      <c r="H371" s="4"/>
      <c r="I371" s="4"/>
    </row>
    <row r="372">
      <c r="D372" s="4"/>
      <c r="E372" s="4"/>
      <c r="F372" s="4"/>
      <c r="H372" s="4"/>
      <c r="I372" s="4"/>
    </row>
    <row r="373">
      <c r="D373" s="4"/>
      <c r="E373" s="4"/>
      <c r="F373" s="4"/>
      <c r="H373" s="4"/>
      <c r="I373" s="4"/>
    </row>
    <row r="374">
      <c r="D374" s="4"/>
      <c r="E374" s="4"/>
      <c r="F374" s="4"/>
      <c r="H374" s="4"/>
      <c r="I374" s="4"/>
    </row>
    <row r="375">
      <c r="D375" s="4"/>
      <c r="E375" s="4"/>
      <c r="F375" s="4"/>
      <c r="H375" s="4"/>
      <c r="I375" s="4"/>
    </row>
    <row r="376">
      <c r="D376" s="4"/>
      <c r="E376" s="4"/>
      <c r="F376" s="4"/>
      <c r="H376" s="4"/>
      <c r="I376" s="4"/>
    </row>
    <row r="377">
      <c r="D377" s="4"/>
      <c r="E377" s="4"/>
      <c r="F377" s="4"/>
      <c r="H377" s="4"/>
      <c r="I377" s="4"/>
    </row>
    <row r="378">
      <c r="D378" s="4"/>
      <c r="E378" s="4"/>
      <c r="F378" s="4"/>
      <c r="H378" s="4"/>
      <c r="I378" s="4"/>
    </row>
    <row r="379">
      <c r="D379" s="4"/>
      <c r="E379" s="4"/>
      <c r="F379" s="4"/>
      <c r="H379" s="4"/>
      <c r="I379" s="4"/>
    </row>
    <row r="380">
      <c r="D380" s="4"/>
      <c r="E380" s="4"/>
      <c r="F380" s="4"/>
      <c r="H380" s="4"/>
      <c r="I380" s="4"/>
    </row>
    <row r="381">
      <c r="D381" s="4"/>
      <c r="E381" s="4"/>
      <c r="F381" s="4"/>
      <c r="H381" s="4"/>
      <c r="I381" s="4"/>
    </row>
    <row r="382">
      <c r="D382" s="4"/>
      <c r="E382" s="4"/>
      <c r="F382" s="4"/>
      <c r="H382" s="4"/>
      <c r="I382" s="4"/>
    </row>
    <row r="383">
      <c r="D383" s="4"/>
      <c r="E383" s="4"/>
      <c r="F383" s="4"/>
      <c r="H383" s="4"/>
      <c r="I383" s="4"/>
    </row>
    <row r="384">
      <c r="D384" s="4"/>
      <c r="E384" s="4"/>
      <c r="F384" s="4"/>
      <c r="H384" s="4"/>
      <c r="I384" s="4"/>
    </row>
    <row r="385">
      <c r="D385" s="4"/>
      <c r="E385" s="4"/>
      <c r="F385" s="4"/>
      <c r="H385" s="4"/>
      <c r="I385" s="4"/>
    </row>
    <row r="386">
      <c r="D386" s="4"/>
      <c r="E386" s="4"/>
      <c r="F386" s="4"/>
      <c r="H386" s="4"/>
      <c r="I386" s="4"/>
    </row>
    <row r="387">
      <c r="D387" s="4"/>
      <c r="E387" s="4"/>
      <c r="F387" s="4"/>
      <c r="H387" s="4"/>
      <c r="I387" s="4"/>
    </row>
    <row r="388">
      <c r="D388" s="4"/>
      <c r="E388" s="4"/>
      <c r="F388" s="4"/>
      <c r="H388" s="4"/>
      <c r="I388" s="4"/>
    </row>
    <row r="389">
      <c r="D389" s="4"/>
      <c r="E389" s="4"/>
      <c r="F389" s="4"/>
      <c r="H389" s="4"/>
      <c r="I389" s="4"/>
    </row>
    <row r="390">
      <c r="D390" s="4"/>
      <c r="E390" s="4"/>
      <c r="F390" s="4"/>
      <c r="H390" s="4"/>
      <c r="I390" s="4"/>
    </row>
    <row r="391">
      <c r="D391" s="4"/>
      <c r="E391" s="4"/>
      <c r="F391" s="4"/>
      <c r="H391" s="4"/>
      <c r="I391" s="4"/>
    </row>
    <row r="392">
      <c r="D392" s="4"/>
      <c r="E392" s="4"/>
      <c r="F392" s="4"/>
      <c r="H392" s="4"/>
      <c r="I392" s="4"/>
    </row>
    <row r="393">
      <c r="D393" s="4"/>
      <c r="E393" s="4"/>
      <c r="F393" s="4"/>
      <c r="H393" s="4"/>
      <c r="I393" s="4"/>
    </row>
    <row r="394">
      <c r="D394" s="4"/>
      <c r="E394" s="4"/>
      <c r="F394" s="4"/>
      <c r="H394" s="4"/>
      <c r="I394" s="4"/>
    </row>
    <row r="395">
      <c r="D395" s="4"/>
      <c r="E395" s="4"/>
      <c r="F395" s="4"/>
      <c r="H395" s="4"/>
      <c r="I395" s="4"/>
    </row>
    <row r="396">
      <c r="D396" s="4"/>
      <c r="E396" s="4"/>
      <c r="F396" s="4"/>
      <c r="H396" s="4"/>
      <c r="I396" s="4"/>
    </row>
    <row r="397">
      <c r="D397" s="4"/>
      <c r="E397" s="4"/>
      <c r="F397" s="4"/>
      <c r="H397" s="4"/>
      <c r="I397" s="4"/>
    </row>
    <row r="398">
      <c r="D398" s="4"/>
      <c r="E398" s="4"/>
      <c r="F398" s="4"/>
      <c r="H398" s="4"/>
      <c r="I398" s="4"/>
    </row>
    <row r="399">
      <c r="D399" s="4"/>
      <c r="E399" s="4"/>
      <c r="F399" s="4"/>
      <c r="H399" s="4"/>
      <c r="I399" s="4"/>
    </row>
    <row r="400">
      <c r="D400" s="4"/>
      <c r="E400" s="4"/>
      <c r="F400" s="4"/>
      <c r="H400" s="4"/>
      <c r="I400" s="4"/>
    </row>
    <row r="401">
      <c r="D401" s="4"/>
      <c r="E401" s="4"/>
      <c r="F401" s="4"/>
      <c r="H401" s="4"/>
      <c r="I401" s="4"/>
    </row>
    <row r="402">
      <c r="D402" s="4"/>
      <c r="E402" s="4"/>
      <c r="F402" s="4"/>
      <c r="H402" s="4"/>
      <c r="I402" s="4"/>
    </row>
    <row r="403">
      <c r="D403" s="4"/>
      <c r="E403" s="4"/>
      <c r="F403" s="4"/>
      <c r="H403" s="4"/>
      <c r="I403" s="4"/>
    </row>
    <row r="404">
      <c r="D404" s="4"/>
      <c r="E404" s="4"/>
      <c r="F404" s="4"/>
      <c r="H404" s="4"/>
      <c r="I404" s="4"/>
    </row>
    <row r="405">
      <c r="D405" s="4"/>
      <c r="E405" s="4"/>
      <c r="F405" s="4"/>
      <c r="H405" s="4"/>
      <c r="I405" s="4"/>
    </row>
    <row r="406">
      <c r="D406" s="4"/>
      <c r="E406" s="4"/>
      <c r="F406" s="4"/>
      <c r="H406" s="4"/>
      <c r="I406" s="4"/>
    </row>
    <row r="407">
      <c r="D407" s="4"/>
      <c r="E407" s="4"/>
      <c r="F407" s="4"/>
      <c r="H407" s="4"/>
      <c r="I407" s="4"/>
    </row>
    <row r="408">
      <c r="D408" s="4"/>
      <c r="E408" s="4"/>
      <c r="F408" s="4"/>
      <c r="H408" s="4"/>
      <c r="I408" s="4"/>
    </row>
    <row r="409">
      <c r="D409" s="4"/>
      <c r="E409" s="4"/>
      <c r="F409" s="4"/>
      <c r="H409" s="4"/>
      <c r="I409" s="4"/>
    </row>
    <row r="410">
      <c r="D410" s="4"/>
      <c r="E410" s="4"/>
      <c r="F410" s="4"/>
      <c r="H410" s="4"/>
      <c r="I410" s="4"/>
    </row>
    <row r="411">
      <c r="D411" s="4"/>
      <c r="E411" s="4"/>
      <c r="F411" s="4"/>
      <c r="H411" s="4"/>
      <c r="I411" s="4"/>
    </row>
    <row r="412">
      <c r="D412" s="4"/>
      <c r="E412" s="4"/>
      <c r="F412" s="4"/>
      <c r="H412" s="4"/>
      <c r="I412" s="4"/>
    </row>
    <row r="413">
      <c r="D413" s="4"/>
      <c r="E413" s="4"/>
      <c r="F413" s="4"/>
      <c r="H413" s="4"/>
      <c r="I413" s="4"/>
    </row>
    <row r="414">
      <c r="D414" s="4"/>
      <c r="E414" s="4"/>
      <c r="F414" s="4"/>
      <c r="H414" s="4"/>
      <c r="I414" s="4"/>
    </row>
    <row r="415">
      <c r="D415" s="4"/>
      <c r="E415" s="4"/>
      <c r="F415" s="4"/>
      <c r="H415" s="4"/>
      <c r="I415" s="4"/>
    </row>
    <row r="416">
      <c r="D416" s="4"/>
      <c r="E416" s="4"/>
      <c r="F416" s="4"/>
      <c r="H416" s="4"/>
      <c r="I416" s="4"/>
    </row>
    <row r="417">
      <c r="D417" s="4"/>
      <c r="E417" s="4"/>
      <c r="F417" s="4"/>
      <c r="H417" s="4"/>
      <c r="I417" s="4"/>
    </row>
    <row r="418">
      <c r="D418" s="4"/>
      <c r="E418" s="4"/>
      <c r="F418" s="4"/>
      <c r="H418" s="4"/>
      <c r="I418" s="4"/>
    </row>
    <row r="419">
      <c r="D419" s="4"/>
      <c r="E419" s="4"/>
      <c r="F419" s="4"/>
      <c r="H419" s="4"/>
      <c r="I419" s="4"/>
    </row>
    <row r="420">
      <c r="D420" s="4"/>
      <c r="E420" s="4"/>
      <c r="F420" s="4"/>
      <c r="H420" s="4"/>
      <c r="I420" s="4"/>
    </row>
    <row r="421">
      <c r="D421" s="4"/>
      <c r="E421" s="4"/>
      <c r="F421" s="4"/>
      <c r="H421" s="4"/>
      <c r="I421" s="4"/>
    </row>
    <row r="422">
      <c r="D422" s="4"/>
      <c r="E422" s="4"/>
      <c r="F422" s="4"/>
      <c r="H422" s="4"/>
      <c r="I422" s="4"/>
    </row>
    <row r="423">
      <c r="D423" s="4"/>
      <c r="E423" s="4"/>
      <c r="F423" s="4"/>
      <c r="H423" s="4"/>
      <c r="I423" s="4"/>
    </row>
    <row r="424">
      <c r="D424" s="4"/>
      <c r="E424" s="4"/>
      <c r="F424" s="4"/>
      <c r="H424" s="4"/>
      <c r="I424" s="4"/>
    </row>
    <row r="425">
      <c r="D425" s="4"/>
      <c r="E425" s="4"/>
      <c r="F425" s="4"/>
      <c r="H425" s="4"/>
      <c r="I425" s="4"/>
    </row>
    <row r="426">
      <c r="D426" s="4"/>
      <c r="E426" s="4"/>
      <c r="F426" s="4"/>
      <c r="H426" s="4"/>
      <c r="I426" s="4"/>
    </row>
    <row r="427">
      <c r="D427" s="4"/>
      <c r="E427" s="4"/>
      <c r="F427" s="4"/>
      <c r="H427" s="4"/>
      <c r="I427" s="4"/>
    </row>
    <row r="428">
      <c r="D428" s="4"/>
      <c r="E428" s="4"/>
      <c r="F428" s="4"/>
      <c r="H428" s="4"/>
      <c r="I428" s="4"/>
    </row>
    <row r="429">
      <c r="D429" s="4"/>
      <c r="E429" s="4"/>
      <c r="F429" s="4"/>
      <c r="H429" s="4"/>
      <c r="I429" s="4"/>
    </row>
    <row r="430">
      <c r="D430" s="4"/>
      <c r="E430" s="4"/>
      <c r="F430" s="4"/>
      <c r="H430" s="4"/>
      <c r="I430" s="4"/>
    </row>
    <row r="431">
      <c r="D431" s="4"/>
      <c r="E431" s="4"/>
      <c r="F431" s="4"/>
      <c r="H431" s="4"/>
      <c r="I431" s="4"/>
    </row>
    <row r="432">
      <c r="D432" s="4"/>
      <c r="E432" s="4"/>
      <c r="F432" s="4"/>
      <c r="H432" s="4"/>
      <c r="I432" s="4"/>
    </row>
    <row r="433">
      <c r="D433" s="4"/>
      <c r="E433" s="4"/>
      <c r="F433" s="4"/>
      <c r="H433" s="4"/>
      <c r="I433" s="4"/>
    </row>
    <row r="434">
      <c r="D434" s="4"/>
      <c r="E434" s="4"/>
      <c r="F434" s="4"/>
      <c r="H434" s="4"/>
      <c r="I434" s="4"/>
    </row>
    <row r="435">
      <c r="D435" s="4"/>
      <c r="E435" s="4"/>
      <c r="F435" s="4"/>
      <c r="H435" s="4"/>
      <c r="I435" s="4"/>
    </row>
    <row r="436">
      <c r="D436" s="4"/>
      <c r="E436" s="4"/>
      <c r="F436" s="4"/>
      <c r="H436" s="4"/>
      <c r="I436" s="4"/>
    </row>
    <row r="437">
      <c r="D437" s="4"/>
      <c r="E437" s="4"/>
      <c r="F437" s="4"/>
      <c r="H437" s="4"/>
      <c r="I437" s="4"/>
    </row>
    <row r="438">
      <c r="D438" s="4"/>
      <c r="E438" s="4"/>
      <c r="F438" s="4"/>
      <c r="H438" s="4"/>
      <c r="I438" s="4"/>
    </row>
    <row r="439">
      <c r="D439" s="4"/>
      <c r="E439" s="4"/>
      <c r="F439" s="4"/>
      <c r="H439" s="4"/>
      <c r="I439" s="4"/>
    </row>
    <row r="440">
      <c r="D440" s="4"/>
      <c r="E440" s="4"/>
      <c r="F440" s="4"/>
      <c r="H440" s="4"/>
      <c r="I440" s="4"/>
    </row>
    <row r="441">
      <c r="D441" s="4"/>
      <c r="E441" s="4"/>
      <c r="F441" s="4"/>
      <c r="H441" s="4"/>
      <c r="I441" s="4"/>
    </row>
    <row r="442">
      <c r="D442" s="4"/>
      <c r="E442" s="4"/>
      <c r="F442" s="4"/>
      <c r="H442" s="4"/>
      <c r="I442" s="4"/>
    </row>
    <row r="443">
      <c r="D443" s="4"/>
      <c r="E443" s="4"/>
      <c r="F443" s="4"/>
      <c r="H443" s="4"/>
      <c r="I443" s="4"/>
    </row>
    <row r="444">
      <c r="D444" s="4"/>
      <c r="E444" s="4"/>
      <c r="F444" s="4"/>
      <c r="H444" s="4"/>
      <c r="I444" s="4"/>
    </row>
    <row r="445">
      <c r="D445" s="4"/>
      <c r="E445" s="4"/>
      <c r="F445" s="4"/>
      <c r="H445" s="4"/>
      <c r="I445" s="4"/>
    </row>
    <row r="446">
      <c r="D446" s="4"/>
      <c r="E446" s="4"/>
      <c r="F446" s="4"/>
      <c r="H446" s="4"/>
      <c r="I446" s="4"/>
    </row>
    <row r="447">
      <c r="D447" s="4"/>
      <c r="E447" s="4"/>
      <c r="F447" s="4"/>
      <c r="H447" s="4"/>
      <c r="I447" s="4"/>
    </row>
    <row r="448">
      <c r="D448" s="4"/>
      <c r="E448" s="4"/>
      <c r="F448" s="4"/>
      <c r="H448" s="4"/>
      <c r="I448" s="4"/>
    </row>
    <row r="449">
      <c r="D449" s="4"/>
      <c r="E449" s="4"/>
      <c r="F449" s="4"/>
      <c r="H449" s="4"/>
      <c r="I449" s="4"/>
    </row>
    <row r="450">
      <c r="D450" s="4"/>
      <c r="E450" s="4"/>
      <c r="F450" s="4"/>
      <c r="H450" s="4"/>
      <c r="I450" s="4"/>
    </row>
    <row r="451">
      <c r="D451" s="4"/>
      <c r="E451" s="4"/>
      <c r="F451" s="4"/>
      <c r="H451" s="4"/>
      <c r="I451" s="4"/>
    </row>
    <row r="452">
      <c r="D452" s="4"/>
      <c r="E452" s="4"/>
      <c r="F452" s="4"/>
      <c r="H452" s="4"/>
      <c r="I452" s="4"/>
    </row>
    <row r="453">
      <c r="D453" s="4"/>
      <c r="E453" s="4"/>
      <c r="F453" s="4"/>
      <c r="H453" s="4"/>
      <c r="I453" s="4"/>
    </row>
    <row r="454">
      <c r="D454" s="4"/>
      <c r="E454" s="4"/>
      <c r="F454" s="4"/>
      <c r="H454" s="4"/>
      <c r="I454" s="4"/>
    </row>
    <row r="455">
      <c r="D455" s="4"/>
      <c r="E455" s="4"/>
      <c r="F455" s="4"/>
      <c r="H455" s="4"/>
      <c r="I455" s="4"/>
    </row>
    <row r="456">
      <c r="D456" s="4"/>
      <c r="E456" s="4"/>
      <c r="F456" s="4"/>
      <c r="H456" s="4"/>
      <c r="I456" s="4"/>
    </row>
    <row r="457">
      <c r="D457" s="4"/>
      <c r="E457" s="4"/>
      <c r="F457" s="4"/>
      <c r="H457" s="4"/>
      <c r="I457" s="4"/>
    </row>
    <row r="458">
      <c r="D458" s="4"/>
      <c r="E458" s="4"/>
      <c r="F458" s="4"/>
      <c r="H458" s="4"/>
      <c r="I458" s="4"/>
    </row>
    <row r="459">
      <c r="D459" s="4"/>
      <c r="E459" s="4"/>
      <c r="F459" s="4"/>
      <c r="H459" s="4"/>
      <c r="I459" s="4"/>
    </row>
    <row r="460">
      <c r="D460" s="4"/>
      <c r="E460" s="4"/>
      <c r="F460" s="4"/>
      <c r="H460" s="4"/>
      <c r="I460" s="4"/>
    </row>
    <row r="461">
      <c r="D461" s="4"/>
      <c r="E461" s="4"/>
      <c r="F461" s="4"/>
      <c r="H461" s="4"/>
      <c r="I461" s="4"/>
    </row>
    <row r="462">
      <c r="D462" s="4"/>
      <c r="E462" s="4"/>
      <c r="F462" s="4"/>
      <c r="H462" s="4"/>
      <c r="I462" s="4"/>
    </row>
    <row r="463">
      <c r="D463" s="4"/>
      <c r="E463" s="4"/>
      <c r="F463" s="4"/>
      <c r="H463" s="4"/>
      <c r="I463" s="4"/>
    </row>
    <row r="464">
      <c r="D464" s="4"/>
      <c r="E464" s="4"/>
      <c r="F464" s="4"/>
      <c r="H464" s="4"/>
      <c r="I464" s="4"/>
    </row>
    <row r="465">
      <c r="D465" s="4"/>
      <c r="E465" s="4"/>
      <c r="F465" s="4"/>
      <c r="H465" s="4"/>
      <c r="I465" s="4"/>
    </row>
    <row r="466">
      <c r="D466" s="4"/>
      <c r="E466" s="4"/>
      <c r="F466" s="4"/>
      <c r="H466" s="4"/>
      <c r="I466" s="4"/>
    </row>
    <row r="467">
      <c r="D467" s="4"/>
      <c r="E467" s="4"/>
      <c r="F467" s="4"/>
      <c r="H467" s="4"/>
      <c r="I467" s="4"/>
    </row>
    <row r="468">
      <c r="D468" s="4"/>
      <c r="E468" s="4"/>
      <c r="F468" s="4"/>
      <c r="H468" s="4"/>
      <c r="I468" s="4"/>
    </row>
    <row r="469">
      <c r="D469" s="4"/>
      <c r="E469" s="4"/>
      <c r="F469" s="4"/>
      <c r="H469" s="4"/>
      <c r="I469" s="4"/>
    </row>
    <row r="470">
      <c r="D470" s="4"/>
      <c r="E470" s="4"/>
      <c r="F470" s="4"/>
      <c r="H470" s="4"/>
      <c r="I470" s="4"/>
    </row>
    <row r="471">
      <c r="D471" s="4"/>
      <c r="E471" s="4"/>
      <c r="F471" s="4"/>
      <c r="H471" s="4"/>
      <c r="I471" s="4"/>
    </row>
    <row r="472">
      <c r="D472" s="4"/>
      <c r="E472" s="4"/>
      <c r="F472" s="4"/>
      <c r="H472" s="4"/>
      <c r="I472" s="4"/>
    </row>
    <row r="473">
      <c r="D473" s="4"/>
      <c r="E473" s="4"/>
      <c r="F473" s="4"/>
      <c r="H473" s="4"/>
      <c r="I473" s="4"/>
    </row>
    <row r="474">
      <c r="D474" s="4"/>
      <c r="E474" s="4"/>
      <c r="F474" s="4"/>
      <c r="H474" s="4"/>
      <c r="I474" s="4"/>
    </row>
    <row r="475">
      <c r="D475" s="4"/>
      <c r="E475" s="4"/>
      <c r="F475" s="4"/>
      <c r="H475" s="4"/>
      <c r="I475" s="4"/>
    </row>
    <row r="476">
      <c r="D476" s="4"/>
      <c r="E476" s="4"/>
      <c r="F476" s="4"/>
      <c r="H476" s="4"/>
      <c r="I476" s="4"/>
    </row>
    <row r="477">
      <c r="D477" s="4"/>
      <c r="E477" s="4"/>
      <c r="F477" s="4"/>
      <c r="H477" s="4"/>
      <c r="I477" s="4"/>
    </row>
    <row r="478">
      <c r="D478" s="4"/>
      <c r="E478" s="4"/>
      <c r="F478" s="4"/>
      <c r="H478" s="4"/>
      <c r="I478" s="4"/>
    </row>
    <row r="479">
      <c r="D479" s="4"/>
      <c r="E479" s="4"/>
      <c r="F479" s="4"/>
      <c r="H479" s="4"/>
      <c r="I479" s="4"/>
    </row>
    <row r="480">
      <c r="D480" s="4"/>
      <c r="E480" s="4"/>
      <c r="F480" s="4"/>
      <c r="H480" s="4"/>
      <c r="I480" s="4"/>
    </row>
    <row r="481">
      <c r="D481" s="4"/>
      <c r="E481" s="4"/>
      <c r="F481" s="4"/>
      <c r="H481" s="4"/>
      <c r="I481" s="4"/>
    </row>
    <row r="482">
      <c r="D482" s="4"/>
      <c r="E482" s="4"/>
      <c r="F482" s="4"/>
      <c r="H482" s="4"/>
      <c r="I482" s="4"/>
    </row>
    <row r="483">
      <c r="D483" s="4"/>
      <c r="E483" s="4"/>
      <c r="F483" s="4"/>
      <c r="H483" s="4"/>
      <c r="I483" s="4"/>
    </row>
    <row r="484">
      <c r="D484" s="4"/>
      <c r="E484" s="4"/>
      <c r="F484" s="4"/>
      <c r="H484" s="4"/>
      <c r="I484" s="4"/>
    </row>
    <row r="485">
      <c r="D485" s="4"/>
      <c r="E485" s="4"/>
      <c r="F485" s="4"/>
      <c r="H485" s="4"/>
      <c r="I485" s="4"/>
    </row>
    <row r="486">
      <c r="D486" s="4"/>
      <c r="E486" s="4"/>
      <c r="F486" s="4"/>
      <c r="H486" s="4"/>
      <c r="I486" s="4"/>
    </row>
    <row r="487">
      <c r="D487" s="4"/>
      <c r="E487" s="4"/>
      <c r="F487" s="4"/>
      <c r="H487" s="4"/>
      <c r="I487" s="4"/>
    </row>
    <row r="488">
      <c r="D488" s="4"/>
      <c r="E488" s="4"/>
      <c r="F488" s="4"/>
      <c r="H488" s="4"/>
      <c r="I488" s="4"/>
    </row>
    <row r="489">
      <c r="D489" s="4"/>
      <c r="E489" s="4"/>
      <c r="F489" s="4"/>
      <c r="H489" s="4"/>
      <c r="I489" s="4"/>
    </row>
    <row r="490">
      <c r="D490" s="4"/>
      <c r="E490" s="4"/>
      <c r="F490" s="4"/>
      <c r="H490" s="4"/>
      <c r="I490" s="4"/>
    </row>
    <row r="491">
      <c r="D491" s="4"/>
      <c r="E491" s="4"/>
      <c r="F491" s="4"/>
      <c r="H491" s="4"/>
      <c r="I491" s="4"/>
    </row>
    <row r="492">
      <c r="D492" s="4"/>
      <c r="E492" s="4"/>
      <c r="F492" s="4"/>
      <c r="H492" s="4"/>
      <c r="I492" s="4"/>
    </row>
    <row r="493">
      <c r="D493" s="4"/>
      <c r="E493" s="4"/>
      <c r="F493" s="4"/>
      <c r="H493" s="4"/>
      <c r="I493" s="4"/>
    </row>
    <row r="494">
      <c r="D494" s="4"/>
      <c r="E494" s="4"/>
      <c r="F494" s="4"/>
      <c r="H494" s="4"/>
      <c r="I494" s="4"/>
    </row>
    <row r="495">
      <c r="D495" s="4"/>
      <c r="E495" s="4"/>
      <c r="F495" s="4"/>
      <c r="H495" s="4"/>
      <c r="I495" s="4"/>
    </row>
    <row r="496">
      <c r="D496" s="4"/>
      <c r="E496" s="4"/>
      <c r="F496" s="4"/>
      <c r="H496" s="4"/>
      <c r="I496" s="4"/>
    </row>
    <row r="497">
      <c r="D497" s="4"/>
      <c r="E497" s="4"/>
      <c r="F497" s="4"/>
      <c r="H497" s="4"/>
      <c r="I497" s="4"/>
    </row>
    <row r="498">
      <c r="D498" s="4"/>
      <c r="E498" s="4"/>
      <c r="F498" s="4"/>
      <c r="H498" s="4"/>
      <c r="I498" s="4"/>
    </row>
    <row r="499">
      <c r="D499" s="4"/>
      <c r="E499" s="4"/>
      <c r="F499" s="4"/>
      <c r="H499" s="4"/>
      <c r="I499" s="4"/>
    </row>
    <row r="500">
      <c r="D500" s="4"/>
      <c r="E500" s="4"/>
      <c r="F500" s="4"/>
      <c r="H500" s="4"/>
      <c r="I500" s="4"/>
    </row>
    <row r="501">
      <c r="D501" s="4"/>
      <c r="E501" s="4"/>
      <c r="F501" s="4"/>
      <c r="H501" s="4"/>
      <c r="I501" s="4"/>
    </row>
    <row r="502">
      <c r="D502" s="4"/>
      <c r="E502" s="4"/>
      <c r="F502" s="4"/>
      <c r="H502" s="4"/>
      <c r="I502" s="4"/>
    </row>
    <row r="503">
      <c r="D503" s="4"/>
      <c r="E503" s="4"/>
      <c r="F503" s="4"/>
      <c r="H503" s="4"/>
      <c r="I503" s="4"/>
    </row>
    <row r="504">
      <c r="D504" s="4"/>
      <c r="E504" s="4"/>
      <c r="F504" s="4"/>
      <c r="H504" s="4"/>
      <c r="I504" s="4"/>
    </row>
    <row r="505">
      <c r="D505" s="4"/>
      <c r="E505" s="4"/>
      <c r="F505" s="4"/>
      <c r="H505" s="4"/>
      <c r="I505" s="4"/>
    </row>
    <row r="506">
      <c r="D506" s="4"/>
      <c r="E506" s="4"/>
      <c r="F506" s="4"/>
      <c r="H506" s="4"/>
      <c r="I506" s="4"/>
    </row>
    <row r="507">
      <c r="D507" s="4"/>
      <c r="E507" s="4"/>
      <c r="F507" s="4"/>
      <c r="H507" s="4"/>
      <c r="I507" s="4"/>
    </row>
    <row r="508">
      <c r="D508" s="4"/>
      <c r="E508" s="4"/>
      <c r="F508" s="4"/>
      <c r="H508" s="4"/>
      <c r="I508" s="4"/>
    </row>
    <row r="509">
      <c r="D509" s="4"/>
      <c r="E509" s="4"/>
      <c r="F509" s="4"/>
      <c r="H509" s="4"/>
      <c r="I509" s="4"/>
    </row>
    <row r="510">
      <c r="D510" s="4"/>
      <c r="E510" s="4"/>
      <c r="F510" s="4"/>
      <c r="H510" s="4"/>
      <c r="I510" s="4"/>
    </row>
    <row r="511">
      <c r="D511" s="4"/>
      <c r="E511" s="4"/>
      <c r="F511" s="4"/>
      <c r="H511" s="4"/>
      <c r="I511" s="4"/>
    </row>
    <row r="512">
      <c r="D512" s="4"/>
      <c r="E512" s="4"/>
      <c r="F512" s="4"/>
      <c r="H512" s="4"/>
      <c r="I512" s="4"/>
    </row>
    <row r="513">
      <c r="D513" s="4"/>
      <c r="E513" s="4"/>
      <c r="F513" s="4"/>
      <c r="H513" s="4"/>
      <c r="I513" s="4"/>
    </row>
    <row r="514">
      <c r="D514" s="4"/>
      <c r="E514" s="4"/>
      <c r="F514" s="4"/>
      <c r="H514" s="4"/>
      <c r="I514" s="4"/>
    </row>
    <row r="515">
      <c r="D515" s="4"/>
      <c r="E515" s="4"/>
      <c r="F515" s="4"/>
      <c r="H515" s="4"/>
      <c r="I515" s="4"/>
    </row>
    <row r="516">
      <c r="D516" s="4"/>
      <c r="E516" s="4"/>
      <c r="F516" s="4"/>
      <c r="H516" s="4"/>
      <c r="I516" s="4"/>
    </row>
    <row r="517">
      <c r="D517" s="4"/>
      <c r="E517" s="4"/>
      <c r="F517" s="4"/>
      <c r="H517" s="4"/>
      <c r="I517" s="4"/>
    </row>
    <row r="518">
      <c r="D518" s="4"/>
      <c r="E518" s="4"/>
      <c r="F518" s="4"/>
      <c r="H518" s="4"/>
      <c r="I518" s="4"/>
    </row>
    <row r="519">
      <c r="D519" s="4"/>
      <c r="E519" s="4"/>
      <c r="F519" s="4"/>
      <c r="H519" s="4"/>
      <c r="I519" s="4"/>
    </row>
    <row r="520">
      <c r="D520" s="4"/>
      <c r="E520" s="4"/>
      <c r="F520" s="4"/>
      <c r="H520" s="4"/>
      <c r="I520" s="4"/>
    </row>
    <row r="521">
      <c r="D521" s="4"/>
      <c r="E521" s="4"/>
      <c r="F521" s="4"/>
      <c r="H521" s="4"/>
      <c r="I521" s="4"/>
    </row>
    <row r="522">
      <c r="D522" s="4"/>
      <c r="E522" s="4"/>
      <c r="F522" s="4"/>
      <c r="H522" s="4"/>
      <c r="I522" s="4"/>
    </row>
    <row r="523">
      <c r="D523" s="4"/>
      <c r="E523" s="4"/>
      <c r="F523" s="4"/>
      <c r="H523" s="4"/>
      <c r="I523" s="4"/>
    </row>
    <row r="524">
      <c r="D524" s="4"/>
      <c r="E524" s="4"/>
      <c r="F524" s="4"/>
      <c r="H524" s="4"/>
      <c r="I524" s="4"/>
    </row>
    <row r="525">
      <c r="D525" s="4"/>
      <c r="E525" s="4"/>
      <c r="F525" s="4"/>
      <c r="H525" s="4"/>
      <c r="I525" s="4"/>
    </row>
    <row r="526">
      <c r="D526" s="4"/>
      <c r="E526" s="4"/>
      <c r="F526" s="4"/>
      <c r="H526" s="4"/>
      <c r="I526" s="4"/>
    </row>
    <row r="527">
      <c r="D527" s="4"/>
      <c r="E527" s="4"/>
      <c r="F527" s="4"/>
      <c r="H527" s="4"/>
      <c r="I527" s="4"/>
    </row>
    <row r="528">
      <c r="D528" s="4"/>
      <c r="E528" s="4"/>
      <c r="F528" s="4"/>
      <c r="H528" s="4"/>
      <c r="I528" s="4"/>
    </row>
    <row r="529">
      <c r="D529" s="4"/>
      <c r="E529" s="4"/>
      <c r="F529" s="4"/>
      <c r="H529" s="4"/>
      <c r="I529" s="4"/>
    </row>
    <row r="530">
      <c r="D530" s="4"/>
      <c r="E530" s="4"/>
      <c r="F530" s="4"/>
      <c r="H530" s="4"/>
      <c r="I530" s="4"/>
    </row>
    <row r="531">
      <c r="D531" s="4"/>
      <c r="E531" s="4"/>
      <c r="F531" s="4"/>
      <c r="H531" s="4"/>
      <c r="I531" s="4"/>
    </row>
    <row r="532">
      <c r="D532" s="4"/>
      <c r="E532" s="4"/>
      <c r="F532" s="4"/>
      <c r="H532" s="4"/>
      <c r="I532" s="4"/>
    </row>
    <row r="533">
      <c r="D533" s="4"/>
      <c r="E533" s="4"/>
      <c r="F533" s="4"/>
      <c r="H533" s="4"/>
      <c r="I533" s="4"/>
    </row>
    <row r="534">
      <c r="D534" s="4"/>
      <c r="E534" s="4"/>
      <c r="F534" s="4"/>
      <c r="H534" s="4"/>
      <c r="I534" s="4"/>
    </row>
    <row r="535">
      <c r="D535" s="4"/>
      <c r="E535" s="4"/>
      <c r="F535" s="4"/>
      <c r="H535" s="4"/>
      <c r="I535" s="4"/>
    </row>
    <row r="536">
      <c r="D536" s="4"/>
      <c r="E536" s="4"/>
      <c r="F536" s="4"/>
      <c r="H536" s="4"/>
      <c r="I536" s="4"/>
    </row>
    <row r="537">
      <c r="D537" s="4"/>
      <c r="E537" s="4"/>
      <c r="F537" s="4"/>
      <c r="H537" s="4"/>
      <c r="I537" s="4"/>
    </row>
    <row r="538">
      <c r="D538" s="4"/>
      <c r="E538" s="4"/>
      <c r="F538" s="4"/>
      <c r="H538" s="4"/>
      <c r="I538" s="4"/>
    </row>
    <row r="539">
      <c r="D539" s="4"/>
      <c r="E539" s="4"/>
      <c r="F539" s="4"/>
      <c r="H539" s="4"/>
      <c r="I539" s="4"/>
    </row>
    <row r="540">
      <c r="D540" s="4"/>
      <c r="E540" s="4"/>
      <c r="F540" s="4"/>
      <c r="H540" s="4"/>
      <c r="I540" s="4"/>
    </row>
    <row r="541">
      <c r="D541" s="4"/>
      <c r="E541" s="4"/>
      <c r="F541" s="4"/>
      <c r="H541" s="4"/>
      <c r="I541" s="4"/>
    </row>
    <row r="542">
      <c r="D542" s="4"/>
      <c r="E542" s="4"/>
      <c r="F542" s="4"/>
      <c r="H542" s="4"/>
      <c r="I542" s="4"/>
    </row>
    <row r="543">
      <c r="D543" s="4"/>
      <c r="E543" s="4"/>
      <c r="F543" s="4"/>
      <c r="H543" s="4"/>
      <c r="I543" s="4"/>
    </row>
    <row r="544">
      <c r="D544" s="4"/>
      <c r="E544" s="4"/>
      <c r="F544" s="4"/>
      <c r="H544" s="4"/>
      <c r="I544" s="4"/>
    </row>
    <row r="545">
      <c r="D545" s="4"/>
      <c r="E545" s="4"/>
      <c r="F545" s="4"/>
      <c r="H545" s="4"/>
      <c r="I545" s="4"/>
    </row>
    <row r="546">
      <c r="D546" s="4"/>
      <c r="E546" s="4"/>
      <c r="F546" s="4"/>
      <c r="H546" s="4"/>
      <c r="I546" s="4"/>
    </row>
    <row r="547">
      <c r="D547" s="4"/>
      <c r="E547" s="4"/>
      <c r="F547" s="4"/>
      <c r="H547" s="4"/>
      <c r="I547" s="4"/>
    </row>
    <row r="548">
      <c r="D548" s="4"/>
      <c r="E548" s="4"/>
      <c r="F548" s="4"/>
      <c r="H548" s="4"/>
      <c r="I548" s="4"/>
    </row>
    <row r="549">
      <c r="D549" s="4"/>
      <c r="E549" s="4"/>
      <c r="F549" s="4"/>
      <c r="H549" s="4"/>
      <c r="I549" s="4"/>
    </row>
    <row r="550">
      <c r="D550" s="4"/>
      <c r="E550" s="4"/>
      <c r="F550" s="4"/>
      <c r="H550" s="4"/>
      <c r="I550" s="4"/>
    </row>
    <row r="551">
      <c r="D551" s="4"/>
      <c r="E551" s="4"/>
      <c r="F551" s="4"/>
      <c r="H551" s="4"/>
      <c r="I551" s="4"/>
    </row>
    <row r="552">
      <c r="D552" s="4"/>
      <c r="E552" s="4"/>
      <c r="F552" s="4"/>
      <c r="H552" s="4"/>
      <c r="I552" s="4"/>
    </row>
    <row r="553">
      <c r="D553" s="4"/>
      <c r="E553" s="4"/>
      <c r="F553" s="4"/>
      <c r="H553" s="4"/>
      <c r="I553" s="4"/>
    </row>
    <row r="554">
      <c r="D554" s="4"/>
      <c r="E554" s="4"/>
      <c r="F554" s="4"/>
      <c r="H554" s="4"/>
      <c r="I554" s="4"/>
    </row>
    <row r="555">
      <c r="D555" s="4"/>
      <c r="E555" s="4"/>
      <c r="F555" s="4"/>
      <c r="H555" s="4"/>
      <c r="I555" s="4"/>
    </row>
    <row r="556">
      <c r="D556" s="4"/>
      <c r="E556" s="4"/>
      <c r="F556" s="4"/>
      <c r="H556" s="4"/>
      <c r="I556" s="4"/>
    </row>
    <row r="557">
      <c r="D557" s="4"/>
      <c r="E557" s="4"/>
      <c r="F557" s="4"/>
      <c r="H557" s="4"/>
      <c r="I557" s="4"/>
    </row>
    <row r="558">
      <c r="D558" s="4"/>
      <c r="E558" s="4"/>
      <c r="F558" s="4"/>
      <c r="H558" s="4"/>
      <c r="I558" s="4"/>
    </row>
    <row r="559">
      <c r="D559" s="4"/>
      <c r="E559" s="4"/>
      <c r="F559" s="4"/>
      <c r="H559" s="4"/>
      <c r="I559" s="4"/>
    </row>
    <row r="560">
      <c r="D560" s="4"/>
      <c r="E560" s="4"/>
      <c r="F560" s="4"/>
      <c r="H560" s="4"/>
      <c r="I560" s="4"/>
    </row>
    <row r="561">
      <c r="D561" s="4"/>
      <c r="E561" s="4"/>
      <c r="F561" s="4"/>
      <c r="H561" s="4"/>
      <c r="I561" s="4"/>
    </row>
    <row r="562">
      <c r="D562" s="4"/>
      <c r="E562" s="4"/>
      <c r="F562" s="4"/>
      <c r="H562" s="4"/>
      <c r="I562" s="4"/>
    </row>
    <row r="563">
      <c r="D563" s="4"/>
      <c r="E563" s="4"/>
      <c r="F563" s="4"/>
      <c r="H563" s="4"/>
      <c r="I563" s="4"/>
    </row>
    <row r="564">
      <c r="D564" s="4"/>
      <c r="E564" s="4"/>
      <c r="F564" s="4"/>
      <c r="H564" s="4"/>
      <c r="I564" s="4"/>
    </row>
    <row r="565">
      <c r="D565" s="4"/>
      <c r="E565" s="4"/>
      <c r="F565" s="4"/>
      <c r="H565" s="4"/>
      <c r="I565" s="4"/>
    </row>
    <row r="566">
      <c r="D566" s="4"/>
      <c r="E566" s="4"/>
      <c r="F566" s="4"/>
      <c r="H566" s="4"/>
      <c r="I566" s="4"/>
    </row>
    <row r="567">
      <c r="D567" s="4"/>
      <c r="E567" s="4"/>
      <c r="F567" s="4"/>
      <c r="H567" s="4"/>
      <c r="I567" s="4"/>
    </row>
    <row r="568">
      <c r="D568" s="4"/>
      <c r="E568" s="4"/>
      <c r="F568" s="4"/>
      <c r="H568" s="4"/>
      <c r="I568" s="4"/>
    </row>
    <row r="569">
      <c r="D569" s="4"/>
      <c r="E569" s="4"/>
      <c r="F569" s="4"/>
      <c r="H569" s="4"/>
      <c r="I569" s="4"/>
    </row>
    <row r="570">
      <c r="D570" s="4"/>
      <c r="E570" s="4"/>
      <c r="F570" s="4"/>
      <c r="H570" s="4"/>
      <c r="I570" s="4"/>
    </row>
    <row r="571">
      <c r="D571" s="4"/>
      <c r="E571" s="4"/>
      <c r="F571" s="4"/>
      <c r="H571" s="4"/>
      <c r="I571" s="4"/>
    </row>
    <row r="572">
      <c r="D572" s="4"/>
      <c r="E572" s="4"/>
      <c r="F572" s="4"/>
      <c r="H572" s="4"/>
      <c r="I572" s="4"/>
    </row>
    <row r="573">
      <c r="D573" s="4"/>
      <c r="E573" s="4"/>
      <c r="F573" s="4"/>
      <c r="H573" s="4"/>
      <c r="I573" s="4"/>
    </row>
    <row r="574">
      <c r="D574" s="4"/>
      <c r="E574" s="4"/>
      <c r="F574" s="4"/>
      <c r="H574" s="4"/>
      <c r="I574" s="4"/>
    </row>
    <row r="575">
      <c r="D575" s="4"/>
      <c r="E575" s="4"/>
      <c r="F575" s="4"/>
      <c r="H575" s="4"/>
      <c r="I575" s="4"/>
    </row>
    <row r="576">
      <c r="D576" s="4"/>
      <c r="E576" s="4"/>
      <c r="F576" s="4"/>
      <c r="H576" s="4"/>
      <c r="I576" s="4"/>
    </row>
    <row r="577">
      <c r="D577" s="4"/>
      <c r="E577" s="4"/>
      <c r="F577" s="4"/>
      <c r="H577" s="4"/>
      <c r="I577" s="4"/>
    </row>
    <row r="578">
      <c r="D578" s="4"/>
      <c r="E578" s="4"/>
      <c r="F578" s="4"/>
      <c r="H578" s="4"/>
      <c r="I578" s="4"/>
    </row>
    <row r="579">
      <c r="D579" s="4"/>
      <c r="E579" s="4"/>
      <c r="F579" s="4"/>
      <c r="H579" s="4"/>
      <c r="I579" s="4"/>
    </row>
    <row r="580">
      <c r="D580" s="4"/>
      <c r="E580" s="4"/>
      <c r="F580" s="4"/>
      <c r="H580" s="4"/>
      <c r="I580" s="4"/>
    </row>
    <row r="581">
      <c r="D581" s="4"/>
      <c r="E581" s="4"/>
      <c r="F581" s="4"/>
      <c r="H581" s="4"/>
      <c r="I581" s="4"/>
    </row>
    <row r="582">
      <c r="D582" s="4"/>
      <c r="E582" s="4"/>
      <c r="F582" s="4"/>
      <c r="H582" s="4"/>
      <c r="I582" s="4"/>
    </row>
    <row r="583">
      <c r="D583" s="4"/>
      <c r="E583" s="4"/>
      <c r="F583" s="4"/>
      <c r="H583" s="4"/>
      <c r="I583" s="4"/>
    </row>
    <row r="584">
      <c r="D584" s="4"/>
      <c r="E584" s="4"/>
      <c r="F584" s="4"/>
      <c r="H584" s="4"/>
      <c r="I584" s="4"/>
    </row>
    <row r="585">
      <c r="D585" s="4"/>
      <c r="E585" s="4"/>
      <c r="F585" s="4"/>
      <c r="H585" s="4"/>
      <c r="I585" s="4"/>
    </row>
    <row r="586">
      <c r="D586" s="4"/>
      <c r="E586" s="4"/>
      <c r="F586" s="4"/>
      <c r="H586" s="4"/>
      <c r="I586" s="4"/>
    </row>
    <row r="587">
      <c r="D587" s="4"/>
      <c r="E587" s="4"/>
      <c r="F587" s="4"/>
      <c r="H587" s="4"/>
      <c r="I587" s="4"/>
    </row>
    <row r="588">
      <c r="D588" s="4"/>
      <c r="E588" s="4"/>
      <c r="F588" s="4"/>
      <c r="H588" s="4"/>
      <c r="I588" s="4"/>
    </row>
    <row r="589">
      <c r="D589" s="4"/>
      <c r="E589" s="4"/>
      <c r="F589" s="4"/>
      <c r="H589" s="4"/>
      <c r="I589" s="4"/>
    </row>
    <row r="590">
      <c r="D590" s="4"/>
      <c r="E590" s="4"/>
      <c r="F590" s="4"/>
      <c r="H590" s="4"/>
      <c r="I590" s="4"/>
    </row>
    <row r="591">
      <c r="D591" s="4"/>
      <c r="E591" s="4"/>
      <c r="F591" s="4"/>
      <c r="H591" s="4"/>
      <c r="I591" s="4"/>
    </row>
    <row r="592">
      <c r="D592" s="4"/>
      <c r="E592" s="4"/>
      <c r="F592" s="4"/>
      <c r="H592" s="4"/>
      <c r="I592" s="4"/>
    </row>
    <row r="593">
      <c r="D593" s="4"/>
      <c r="E593" s="4"/>
      <c r="F593" s="4"/>
      <c r="H593" s="4"/>
      <c r="I593" s="4"/>
    </row>
    <row r="594">
      <c r="D594" s="4"/>
      <c r="E594" s="4"/>
      <c r="F594" s="4"/>
      <c r="H594" s="4"/>
      <c r="I594" s="4"/>
    </row>
    <row r="595">
      <c r="D595" s="4"/>
      <c r="E595" s="4"/>
      <c r="F595" s="4"/>
      <c r="H595" s="4"/>
      <c r="I595" s="4"/>
    </row>
    <row r="596">
      <c r="D596" s="4"/>
      <c r="E596" s="4"/>
      <c r="F596" s="4"/>
      <c r="H596" s="4"/>
      <c r="I596" s="4"/>
    </row>
    <row r="597">
      <c r="D597" s="4"/>
      <c r="E597" s="4"/>
      <c r="F597" s="4"/>
      <c r="H597" s="4"/>
      <c r="I597" s="4"/>
    </row>
    <row r="598">
      <c r="D598" s="4"/>
      <c r="E598" s="4"/>
      <c r="F598" s="4"/>
      <c r="H598" s="4"/>
      <c r="I598" s="4"/>
    </row>
    <row r="599">
      <c r="D599" s="4"/>
      <c r="E599" s="4"/>
      <c r="F599" s="4"/>
      <c r="H599" s="4"/>
      <c r="I599" s="4"/>
    </row>
    <row r="600">
      <c r="D600" s="4"/>
      <c r="E600" s="4"/>
      <c r="F600" s="4"/>
      <c r="H600" s="4"/>
      <c r="I600" s="4"/>
    </row>
    <row r="601">
      <c r="D601" s="4"/>
      <c r="E601" s="4"/>
      <c r="F601" s="4"/>
      <c r="H601" s="4"/>
      <c r="I601" s="4"/>
    </row>
    <row r="602">
      <c r="D602" s="4"/>
      <c r="E602" s="4"/>
      <c r="F602" s="4"/>
      <c r="H602" s="4"/>
      <c r="I602" s="4"/>
    </row>
    <row r="603">
      <c r="D603" s="4"/>
      <c r="E603" s="4"/>
      <c r="F603" s="4"/>
      <c r="H603" s="4"/>
      <c r="I603" s="4"/>
    </row>
    <row r="604">
      <c r="D604" s="4"/>
      <c r="E604" s="4"/>
      <c r="F604" s="4"/>
      <c r="H604" s="4"/>
      <c r="I604" s="4"/>
    </row>
    <row r="605">
      <c r="D605" s="4"/>
      <c r="E605" s="4"/>
      <c r="F605" s="4"/>
      <c r="H605" s="4"/>
      <c r="I605" s="4"/>
    </row>
    <row r="606">
      <c r="D606" s="4"/>
      <c r="E606" s="4"/>
      <c r="F606" s="4"/>
      <c r="H606" s="4"/>
      <c r="I606" s="4"/>
    </row>
    <row r="607">
      <c r="D607" s="4"/>
      <c r="E607" s="4"/>
      <c r="F607" s="4"/>
      <c r="H607" s="4"/>
      <c r="I607" s="4"/>
    </row>
    <row r="608">
      <c r="D608" s="4"/>
      <c r="E608" s="4"/>
      <c r="F608" s="4"/>
      <c r="H608" s="4"/>
      <c r="I608" s="4"/>
    </row>
    <row r="609">
      <c r="D609" s="4"/>
      <c r="E609" s="4"/>
      <c r="F609" s="4"/>
      <c r="H609" s="4"/>
      <c r="I609" s="4"/>
    </row>
    <row r="610">
      <c r="D610" s="4"/>
      <c r="E610" s="4"/>
      <c r="F610" s="4"/>
      <c r="H610" s="4"/>
      <c r="I610" s="4"/>
    </row>
    <row r="611">
      <c r="D611" s="4"/>
      <c r="E611" s="4"/>
      <c r="F611" s="4"/>
      <c r="H611" s="4"/>
      <c r="I611" s="4"/>
    </row>
    <row r="612">
      <c r="D612" s="4"/>
      <c r="E612" s="4"/>
      <c r="F612" s="4"/>
      <c r="H612" s="4"/>
      <c r="I612" s="4"/>
    </row>
    <row r="613">
      <c r="D613" s="4"/>
      <c r="E613" s="4"/>
      <c r="F613" s="4"/>
      <c r="H613" s="4"/>
      <c r="I613" s="4"/>
    </row>
    <row r="614">
      <c r="D614" s="4"/>
      <c r="E614" s="4"/>
      <c r="F614" s="4"/>
      <c r="H614" s="4"/>
      <c r="I614" s="4"/>
    </row>
    <row r="615">
      <c r="D615" s="4"/>
      <c r="E615" s="4"/>
      <c r="F615" s="4"/>
      <c r="H615" s="4"/>
      <c r="I615" s="4"/>
    </row>
    <row r="616">
      <c r="D616" s="4"/>
      <c r="E616" s="4"/>
      <c r="F616" s="4"/>
      <c r="H616" s="4"/>
      <c r="I616" s="4"/>
    </row>
    <row r="617">
      <c r="D617" s="4"/>
      <c r="E617" s="4"/>
      <c r="F617" s="4"/>
      <c r="H617" s="4"/>
      <c r="I617" s="4"/>
    </row>
    <row r="618">
      <c r="D618" s="4"/>
      <c r="E618" s="4"/>
      <c r="F618" s="4"/>
      <c r="H618" s="4"/>
      <c r="I618" s="4"/>
    </row>
    <row r="619">
      <c r="D619" s="4"/>
      <c r="E619" s="4"/>
      <c r="F619" s="4"/>
      <c r="H619" s="4"/>
      <c r="I619" s="4"/>
    </row>
    <row r="620">
      <c r="D620" s="4"/>
      <c r="E620" s="4"/>
      <c r="F620" s="4"/>
      <c r="H620" s="4"/>
      <c r="I620" s="4"/>
    </row>
    <row r="621">
      <c r="D621" s="4"/>
      <c r="E621" s="4"/>
      <c r="F621" s="4"/>
      <c r="H621" s="4"/>
      <c r="I621" s="4"/>
    </row>
    <row r="622">
      <c r="D622" s="4"/>
      <c r="E622" s="4"/>
      <c r="F622" s="4"/>
      <c r="H622" s="4"/>
      <c r="I622" s="4"/>
    </row>
    <row r="623">
      <c r="D623" s="4"/>
      <c r="E623" s="4"/>
      <c r="F623" s="4"/>
      <c r="H623" s="4"/>
      <c r="I623" s="4"/>
    </row>
    <row r="624">
      <c r="D624" s="4"/>
      <c r="E624" s="4"/>
      <c r="F624" s="4"/>
      <c r="H624" s="4"/>
      <c r="I624" s="4"/>
    </row>
    <row r="625">
      <c r="D625" s="4"/>
      <c r="E625" s="4"/>
      <c r="F625" s="4"/>
      <c r="H625" s="4"/>
      <c r="I625" s="4"/>
    </row>
    <row r="626">
      <c r="D626" s="4"/>
      <c r="E626" s="4"/>
      <c r="F626" s="4"/>
      <c r="H626" s="4"/>
      <c r="I626" s="4"/>
    </row>
    <row r="627">
      <c r="D627" s="4"/>
      <c r="E627" s="4"/>
      <c r="F627" s="4"/>
      <c r="H627" s="4"/>
      <c r="I627" s="4"/>
    </row>
    <row r="628">
      <c r="D628" s="4"/>
      <c r="E628" s="4"/>
      <c r="F628" s="4"/>
      <c r="H628" s="4"/>
      <c r="I628" s="4"/>
    </row>
    <row r="629">
      <c r="D629" s="4"/>
      <c r="E629" s="4"/>
      <c r="F629" s="4"/>
      <c r="H629" s="4"/>
      <c r="I629" s="4"/>
    </row>
    <row r="630">
      <c r="D630" s="4"/>
      <c r="E630" s="4"/>
      <c r="F630" s="4"/>
      <c r="H630" s="4"/>
      <c r="I630" s="4"/>
    </row>
    <row r="631">
      <c r="D631" s="4"/>
      <c r="E631" s="4"/>
      <c r="F631" s="4"/>
      <c r="H631" s="4"/>
      <c r="I631" s="4"/>
    </row>
    <row r="632">
      <c r="D632" s="4"/>
      <c r="E632" s="4"/>
      <c r="F632" s="4"/>
      <c r="H632" s="4"/>
      <c r="I632" s="4"/>
    </row>
    <row r="633">
      <c r="D633" s="4"/>
      <c r="E633" s="4"/>
      <c r="F633" s="4"/>
      <c r="H633" s="4"/>
      <c r="I633" s="4"/>
    </row>
    <row r="634">
      <c r="D634" s="4"/>
      <c r="E634" s="4"/>
      <c r="F634" s="4"/>
      <c r="H634" s="4"/>
      <c r="I634" s="4"/>
    </row>
    <row r="635">
      <c r="D635" s="4"/>
      <c r="E635" s="4"/>
      <c r="F635" s="4"/>
      <c r="H635" s="4"/>
      <c r="I635" s="4"/>
    </row>
    <row r="636">
      <c r="D636" s="4"/>
      <c r="E636" s="4"/>
      <c r="F636" s="4"/>
      <c r="H636" s="4"/>
      <c r="I636" s="4"/>
    </row>
    <row r="637">
      <c r="D637" s="4"/>
      <c r="E637" s="4"/>
      <c r="F637" s="4"/>
      <c r="H637" s="4"/>
      <c r="I637" s="4"/>
    </row>
    <row r="638">
      <c r="D638" s="4"/>
      <c r="E638" s="4"/>
      <c r="F638" s="4"/>
      <c r="H638" s="4"/>
      <c r="I638" s="4"/>
    </row>
    <row r="639">
      <c r="D639" s="4"/>
      <c r="E639" s="4"/>
      <c r="F639" s="4"/>
      <c r="H639" s="4"/>
      <c r="I639" s="4"/>
    </row>
    <row r="640">
      <c r="D640" s="4"/>
      <c r="E640" s="4"/>
      <c r="F640" s="4"/>
      <c r="H640" s="4"/>
      <c r="I640" s="4"/>
    </row>
    <row r="641">
      <c r="D641" s="4"/>
      <c r="E641" s="4"/>
      <c r="F641" s="4"/>
      <c r="H641" s="4"/>
      <c r="I641" s="4"/>
    </row>
    <row r="642">
      <c r="D642" s="4"/>
      <c r="E642" s="4"/>
      <c r="F642" s="4"/>
      <c r="H642" s="4"/>
      <c r="I642" s="4"/>
    </row>
    <row r="643">
      <c r="D643" s="4"/>
      <c r="E643" s="4"/>
      <c r="F643" s="4"/>
      <c r="H643" s="4"/>
      <c r="I643" s="4"/>
    </row>
    <row r="644">
      <c r="D644" s="4"/>
      <c r="E644" s="4"/>
      <c r="F644" s="4"/>
      <c r="H644" s="4"/>
      <c r="I644" s="4"/>
    </row>
    <row r="645">
      <c r="D645" s="4"/>
      <c r="E645" s="4"/>
      <c r="F645" s="4"/>
      <c r="H645" s="4"/>
      <c r="I645" s="4"/>
    </row>
    <row r="646">
      <c r="D646" s="4"/>
      <c r="E646" s="4"/>
      <c r="F646" s="4"/>
      <c r="H646" s="4"/>
      <c r="I646" s="4"/>
    </row>
    <row r="647">
      <c r="D647" s="4"/>
      <c r="E647" s="4"/>
      <c r="F647" s="4"/>
      <c r="H647" s="4"/>
      <c r="I647" s="4"/>
    </row>
    <row r="648">
      <c r="D648" s="4"/>
      <c r="E648" s="4"/>
      <c r="F648" s="4"/>
      <c r="H648" s="4"/>
      <c r="I648" s="4"/>
    </row>
    <row r="649">
      <c r="D649" s="4"/>
      <c r="E649" s="4"/>
      <c r="F649" s="4"/>
      <c r="H649" s="4"/>
      <c r="I649" s="4"/>
    </row>
    <row r="650">
      <c r="D650" s="4"/>
      <c r="E650" s="4"/>
      <c r="F650" s="4"/>
      <c r="H650" s="4"/>
      <c r="I650" s="4"/>
    </row>
    <row r="651">
      <c r="D651" s="4"/>
      <c r="E651" s="4"/>
      <c r="F651" s="4"/>
      <c r="H651" s="4"/>
      <c r="I651" s="4"/>
    </row>
    <row r="652">
      <c r="D652" s="4"/>
      <c r="E652" s="4"/>
      <c r="F652" s="4"/>
      <c r="H652" s="4"/>
      <c r="I652" s="4"/>
    </row>
    <row r="653">
      <c r="D653" s="4"/>
      <c r="E653" s="4"/>
      <c r="F653" s="4"/>
      <c r="H653" s="4"/>
      <c r="I653" s="4"/>
    </row>
    <row r="654">
      <c r="D654" s="4"/>
      <c r="E654" s="4"/>
      <c r="F654" s="4"/>
      <c r="H654" s="4"/>
      <c r="I654" s="4"/>
    </row>
    <row r="655">
      <c r="D655" s="4"/>
      <c r="E655" s="4"/>
      <c r="F655" s="4"/>
      <c r="H655" s="4"/>
      <c r="I655" s="4"/>
    </row>
    <row r="656">
      <c r="D656" s="4"/>
      <c r="E656" s="4"/>
      <c r="F656" s="4"/>
      <c r="H656" s="4"/>
      <c r="I656" s="4"/>
    </row>
    <row r="657">
      <c r="D657" s="4"/>
      <c r="E657" s="4"/>
      <c r="F657" s="4"/>
      <c r="H657" s="4"/>
      <c r="I657" s="4"/>
    </row>
    <row r="658">
      <c r="D658" s="4"/>
      <c r="E658" s="4"/>
      <c r="F658" s="4"/>
      <c r="H658" s="4"/>
      <c r="I658" s="4"/>
    </row>
    <row r="659">
      <c r="D659" s="4"/>
      <c r="E659" s="4"/>
      <c r="F659" s="4"/>
      <c r="H659" s="4"/>
      <c r="I659" s="4"/>
    </row>
    <row r="660">
      <c r="D660" s="4"/>
      <c r="E660" s="4"/>
      <c r="F660" s="4"/>
      <c r="H660" s="4"/>
      <c r="I660" s="4"/>
    </row>
    <row r="661">
      <c r="D661" s="4"/>
      <c r="E661" s="4"/>
      <c r="F661" s="4"/>
      <c r="H661" s="4"/>
      <c r="I661" s="4"/>
    </row>
    <row r="662">
      <c r="D662" s="4"/>
      <c r="E662" s="4"/>
      <c r="F662" s="4"/>
      <c r="H662" s="4"/>
      <c r="I662" s="4"/>
    </row>
    <row r="663">
      <c r="D663" s="4"/>
      <c r="E663" s="4"/>
      <c r="F663" s="4"/>
      <c r="H663" s="4"/>
      <c r="I663" s="4"/>
    </row>
    <row r="664">
      <c r="D664" s="4"/>
      <c r="E664" s="4"/>
      <c r="F664" s="4"/>
      <c r="H664" s="4"/>
      <c r="I664" s="4"/>
    </row>
    <row r="665">
      <c r="D665" s="4"/>
      <c r="E665" s="4"/>
      <c r="F665" s="4"/>
      <c r="H665" s="4"/>
      <c r="I665" s="4"/>
    </row>
    <row r="666">
      <c r="D666" s="4"/>
      <c r="E666" s="4"/>
      <c r="F666" s="4"/>
      <c r="H666" s="4"/>
      <c r="I666" s="4"/>
    </row>
    <row r="667">
      <c r="D667" s="4"/>
      <c r="E667" s="4"/>
      <c r="F667" s="4"/>
      <c r="H667" s="4"/>
      <c r="I667" s="4"/>
    </row>
    <row r="668">
      <c r="D668" s="4"/>
      <c r="E668" s="4"/>
      <c r="F668" s="4"/>
      <c r="H668" s="4"/>
      <c r="I668" s="4"/>
    </row>
    <row r="669">
      <c r="D669" s="4"/>
      <c r="E669" s="4"/>
      <c r="F669" s="4"/>
      <c r="H669" s="4"/>
      <c r="I669" s="4"/>
    </row>
    <row r="670">
      <c r="D670" s="4"/>
      <c r="E670" s="4"/>
      <c r="F670" s="4"/>
      <c r="H670" s="4"/>
      <c r="I670" s="4"/>
    </row>
    <row r="671">
      <c r="D671" s="4"/>
      <c r="E671" s="4"/>
      <c r="F671" s="4"/>
      <c r="H671" s="4"/>
      <c r="I671" s="4"/>
    </row>
    <row r="672">
      <c r="D672" s="4"/>
      <c r="E672" s="4"/>
      <c r="F672" s="4"/>
      <c r="H672" s="4"/>
      <c r="I672" s="4"/>
    </row>
    <row r="673">
      <c r="D673" s="4"/>
      <c r="E673" s="4"/>
      <c r="F673" s="4"/>
      <c r="H673" s="4"/>
      <c r="I673" s="4"/>
    </row>
    <row r="674">
      <c r="D674" s="4"/>
      <c r="E674" s="4"/>
      <c r="F674" s="4"/>
      <c r="H674" s="4"/>
      <c r="I674" s="4"/>
    </row>
    <row r="675">
      <c r="D675" s="4"/>
      <c r="E675" s="4"/>
      <c r="F675" s="4"/>
      <c r="H675" s="4"/>
      <c r="I675" s="4"/>
    </row>
    <row r="676">
      <c r="D676" s="4"/>
      <c r="E676" s="4"/>
      <c r="F676" s="4"/>
      <c r="H676" s="4"/>
      <c r="I676" s="4"/>
    </row>
    <row r="677">
      <c r="D677" s="4"/>
      <c r="E677" s="4"/>
      <c r="F677" s="4"/>
      <c r="H677" s="4"/>
      <c r="I677" s="4"/>
    </row>
    <row r="678">
      <c r="D678" s="4"/>
      <c r="E678" s="4"/>
      <c r="F678" s="4"/>
      <c r="H678" s="4"/>
      <c r="I678" s="4"/>
    </row>
    <row r="679">
      <c r="D679" s="4"/>
      <c r="E679" s="4"/>
      <c r="F679" s="4"/>
      <c r="H679" s="4"/>
      <c r="I679" s="4"/>
    </row>
    <row r="680">
      <c r="D680" s="4"/>
      <c r="E680" s="4"/>
      <c r="F680" s="4"/>
      <c r="H680" s="4"/>
      <c r="I680" s="4"/>
    </row>
    <row r="681">
      <c r="D681" s="4"/>
      <c r="E681" s="4"/>
      <c r="F681" s="4"/>
      <c r="H681" s="4"/>
      <c r="I681" s="4"/>
    </row>
    <row r="682">
      <c r="D682" s="4"/>
      <c r="E682" s="4"/>
      <c r="F682" s="4"/>
      <c r="H682" s="4"/>
      <c r="I682" s="4"/>
    </row>
    <row r="683">
      <c r="D683" s="4"/>
      <c r="E683" s="4"/>
      <c r="F683" s="4"/>
      <c r="H683" s="4"/>
      <c r="I683" s="4"/>
    </row>
    <row r="684">
      <c r="D684" s="4"/>
      <c r="E684" s="4"/>
      <c r="F684" s="4"/>
      <c r="H684" s="4"/>
      <c r="I684" s="4"/>
    </row>
    <row r="685">
      <c r="D685" s="4"/>
      <c r="E685" s="4"/>
      <c r="F685" s="4"/>
      <c r="H685" s="4"/>
      <c r="I685" s="4"/>
    </row>
    <row r="686">
      <c r="D686" s="4"/>
      <c r="E686" s="4"/>
      <c r="F686" s="4"/>
      <c r="H686" s="4"/>
      <c r="I686" s="4"/>
    </row>
    <row r="687">
      <c r="D687" s="4"/>
      <c r="E687" s="4"/>
      <c r="F687" s="4"/>
      <c r="H687" s="4"/>
      <c r="I687" s="4"/>
    </row>
    <row r="688">
      <c r="D688" s="4"/>
      <c r="E688" s="4"/>
      <c r="F688" s="4"/>
      <c r="H688" s="4"/>
      <c r="I688" s="4"/>
    </row>
    <row r="689">
      <c r="D689" s="4"/>
      <c r="E689" s="4"/>
      <c r="F689" s="4"/>
      <c r="H689" s="4"/>
      <c r="I689" s="4"/>
    </row>
    <row r="690">
      <c r="D690" s="4"/>
      <c r="E690" s="4"/>
      <c r="F690" s="4"/>
      <c r="H690" s="4"/>
      <c r="I690" s="4"/>
    </row>
    <row r="691">
      <c r="D691" s="4"/>
      <c r="E691" s="4"/>
      <c r="F691" s="4"/>
      <c r="H691" s="4"/>
      <c r="I691" s="4"/>
    </row>
    <row r="692">
      <c r="D692" s="4"/>
      <c r="E692" s="4"/>
      <c r="F692" s="4"/>
      <c r="H692" s="4"/>
      <c r="I692" s="4"/>
    </row>
    <row r="693">
      <c r="D693" s="4"/>
      <c r="E693" s="4"/>
      <c r="F693" s="4"/>
      <c r="H693" s="4"/>
      <c r="I693" s="4"/>
    </row>
    <row r="694">
      <c r="D694" s="4"/>
      <c r="E694" s="4"/>
      <c r="F694" s="4"/>
      <c r="H694" s="4"/>
      <c r="I694" s="4"/>
    </row>
    <row r="695">
      <c r="D695" s="4"/>
      <c r="E695" s="4"/>
      <c r="F695" s="4"/>
      <c r="H695" s="4"/>
      <c r="I695" s="4"/>
    </row>
    <row r="696">
      <c r="D696" s="4"/>
      <c r="E696" s="4"/>
      <c r="F696" s="4"/>
      <c r="H696" s="4"/>
      <c r="I696" s="4"/>
    </row>
    <row r="697">
      <c r="D697" s="4"/>
      <c r="E697" s="4"/>
      <c r="F697" s="4"/>
      <c r="H697" s="4"/>
      <c r="I697" s="4"/>
    </row>
    <row r="698">
      <c r="D698" s="4"/>
      <c r="E698" s="4"/>
      <c r="F698" s="4"/>
      <c r="H698" s="4"/>
      <c r="I698" s="4"/>
    </row>
    <row r="699">
      <c r="D699" s="4"/>
      <c r="E699" s="4"/>
      <c r="F699" s="4"/>
      <c r="H699" s="4"/>
      <c r="I699" s="4"/>
    </row>
    <row r="700">
      <c r="D700" s="4"/>
      <c r="E700" s="4"/>
      <c r="F700" s="4"/>
      <c r="H700" s="4"/>
      <c r="I700" s="4"/>
    </row>
    <row r="701">
      <c r="D701" s="4"/>
      <c r="E701" s="4"/>
      <c r="F701" s="4"/>
      <c r="H701" s="4"/>
      <c r="I701" s="4"/>
    </row>
    <row r="702">
      <c r="D702" s="4"/>
      <c r="E702" s="4"/>
      <c r="F702" s="4"/>
      <c r="H702" s="4"/>
      <c r="I702" s="4"/>
    </row>
    <row r="703">
      <c r="D703" s="4"/>
      <c r="E703" s="4"/>
      <c r="F703" s="4"/>
      <c r="H703" s="4"/>
      <c r="I703" s="4"/>
    </row>
    <row r="704">
      <c r="D704" s="4"/>
      <c r="E704" s="4"/>
      <c r="F704" s="4"/>
      <c r="H704" s="4"/>
      <c r="I704" s="4"/>
    </row>
    <row r="705">
      <c r="D705" s="4"/>
      <c r="E705" s="4"/>
      <c r="F705" s="4"/>
      <c r="H705" s="4"/>
      <c r="I705" s="4"/>
    </row>
    <row r="706">
      <c r="D706" s="4"/>
      <c r="E706" s="4"/>
      <c r="F706" s="4"/>
      <c r="H706" s="4"/>
      <c r="I706" s="4"/>
    </row>
    <row r="707">
      <c r="D707" s="4"/>
      <c r="E707" s="4"/>
      <c r="F707" s="4"/>
      <c r="H707" s="4"/>
      <c r="I707" s="4"/>
    </row>
    <row r="708">
      <c r="D708" s="4"/>
      <c r="E708" s="4"/>
      <c r="F708" s="4"/>
      <c r="H708" s="4"/>
      <c r="I708" s="4"/>
    </row>
    <row r="709">
      <c r="D709" s="4"/>
      <c r="E709" s="4"/>
      <c r="F709" s="4"/>
      <c r="H709" s="4"/>
      <c r="I709" s="4"/>
    </row>
    <row r="710">
      <c r="D710" s="4"/>
      <c r="E710" s="4"/>
      <c r="F710" s="4"/>
      <c r="H710" s="4"/>
      <c r="I710" s="4"/>
    </row>
    <row r="711">
      <c r="D711" s="4"/>
      <c r="E711" s="4"/>
      <c r="F711" s="4"/>
      <c r="H711" s="4"/>
      <c r="I711" s="4"/>
    </row>
    <row r="712">
      <c r="D712" s="4"/>
      <c r="E712" s="4"/>
      <c r="F712" s="4"/>
      <c r="H712" s="4"/>
      <c r="I712" s="4"/>
    </row>
    <row r="713">
      <c r="D713" s="4"/>
      <c r="E713" s="4"/>
      <c r="F713" s="4"/>
      <c r="H713" s="4"/>
      <c r="I713" s="4"/>
    </row>
    <row r="714">
      <c r="D714" s="4"/>
      <c r="E714" s="4"/>
      <c r="F714" s="4"/>
      <c r="H714" s="4"/>
      <c r="I714" s="4"/>
    </row>
    <row r="715">
      <c r="D715" s="4"/>
      <c r="E715" s="4"/>
      <c r="F715" s="4"/>
      <c r="H715" s="4"/>
      <c r="I715" s="4"/>
    </row>
    <row r="716">
      <c r="D716" s="4"/>
      <c r="E716" s="4"/>
      <c r="F716" s="4"/>
      <c r="H716" s="4"/>
      <c r="I716" s="4"/>
    </row>
    <row r="717">
      <c r="D717" s="4"/>
      <c r="E717" s="4"/>
      <c r="F717" s="4"/>
      <c r="H717" s="4"/>
      <c r="I717" s="4"/>
    </row>
    <row r="718">
      <c r="D718" s="4"/>
      <c r="E718" s="4"/>
      <c r="F718" s="4"/>
      <c r="H718" s="4"/>
      <c r="I718" s="4"/>
    </row>
    <row r="719">
      <c r="D719" s="4"/>
      <c r="E719" s="4"/>
      <c r="F719" s="4"/>
      <c r="H719" s="4"/>
      <c r="I719" s="4"/>
    </row>
    <row r="720">
      <c r="D720" s="4"/>
      <c r="E720" s="4"/>
      <c r="F720" s="4"/>
      <c r="H720" s="4"/>
      <c r="I720" s="4"/>
    </row>
    <row r="721">
      <c r="D721" s="4"/>
      <c r="E721" s="4"/>
      <c r="F721" s="4"/>
      <c r="H721" s="4"/>
      <c r="I721" s="4"/>
    </row>
    <row r="722">
      <c r="D722" s="4"/>
      <c r="E722" s="4"/>
      <c r="F722" s="4"/>
      <c r="H722" s="4"/>
      <c r="I722" s="4"/>
    </row>
    <row r="723">
      <c r="D723" s="4"/>
      <c r="E723" s="4"/>
      <c r="F723" s="4"/>
      <c r="H723" s="4"/>
      <c r="I723" s="4"/>
    </row>
    <row r="724">
      <c r="D724" s="4"/>
      <c r="E724" s="4"/>
      <c r="F724" s="4"/>
      <c r="H724" s="4"/>
      <c r="I724" s="4"/>
    </row>
    <row r="725">
      <c r="D725" s="4"/>
      <c r="E725" s="4"/>
      <c r="F725" s="4"/>
      <c r="H725" s="4"/>
      <c r="I725" s="4"/>
    </row>
    <row r="726">
      <c r="D726" s="4"/>
      <c r="E726" s="4"/>
      <c r="F726" s="4"/>
      <c r="H726" s="4"/>
      <c r="I726" s="4"/>
    </row>
    <row r="727">
      <c r="D727" s="4"/>
      <c r="E727" s="4"/>
      <c r="F727" s="4"/>
      <c r="H727" s="4"/>
      <c r="I727" s="4"/>
    </row>
    <row r="728">
      <c r="D728" s="4"/>
      <c r="E728" s="4"/>
      <c r="F728" s="4"/>
      <c r="H728" s="4"/>
      <c r="I728" s="4"/>
    </row>
    <row r="729">
      <c r="D729" s="4"/>
      <c r="E729" s="4"/>
      <c r="F729" s="4"/>
      <c r="H729" s="4"/>
      <c r="I729" s="4"/>
    </row>
    <row r="730">
      <c r="D730" s="4"/>
      <c r="E730" s="4"/>
      <c r="F730" s="4"/>
      <c r="H730" s="4"/>
      <c r="I730" s="4"/>
    </row>
    <row r="731">
      <c r="D731" s="4"/>
      <c r="E731" s="4"/>
      <c r="F731" s="4"/>
      <c r="H731" s="4"/>
      <c r="I731" s="4"/>
    </row>
    <row r="732">
      <c r="D732" s="4"/>
      <c r="E732" s="4"/>
      <c r="F732" s="4"/>
      <c r="H732" s="4"/>
      <c r="I732" s="4"/>
    </row>
    <row r="733">
      <c r="D733" s="4"/>
      <c r="E733" s="4"/>
      <c r="F733" s="4"/>
      <c r="H733" s="4"/>
      <c r="I733" s="4"/>
    </row>
    <row r="734">
      <c r="D734" s="4"/>
      <c r="E734" s="4"/>
      <c r="F734" s="4"/>
      <c r="H734" s="4"/>
      <c r="I734" s="4"/>
    </row>
    <row r="735">
      <c r="D735" s="4"/>
      <c r="E735" s="4"/>
      <c r="F735" s="4"/>
      <c r="H735" s="4"/>
      <c r="I735" s="4"/>
    </row>
    <row r="736">
      <c r="D736" s="4"/>
      <c r="E736" s="4"/>
      <c r="F736" s="4"/>
      <c r="H736" s="4"/>
      <c r="I736" s="4"/>
    </row>
    <row r="737">
      <c r="D737" s="4"/>
      <c r="E737" s="4"/>
      <c r="F737" s="4"/>
      <c r="H737" s="4"/>
      <c r="I737" s="4"/>
    </row>
    <row r="738">
      <c r="D738" s="4"/>
      <c r="E738" s="4"/>
      <c r="F738" s="4"/>
      <c r="H738" s="4"/>
      <c r="I738" s="4"/>
    </row>
    <row r="739">
      <c r="D739" s="4"/>
      <c r="E739" s="4"/>
      <c r="F739" s="4"/>
      <c r="H739" s="4"/>
      <c r="I739" s="4"/>
    </row>
    <row r="740">
      <c r="D740" s="4"/>
      <c r="E740" s="4"/>
      <c r="F740" s="4"/>
      <c r="H740" s="4"/>
      <c r="I740" s="4"/>
    </row>
    <row r="741">
      <c r="D741" s="4"/>
      <c r="E741" s="4"/>
      <c r="F741" s="4"/>
      <c r="H741" s="4"/>
      <c r="I741" s="4"/>
    </row>
    <row r="742">
      <c r="D742" s="4"/>
      <c r="E742" s="4"/>
      <c r="F742" s="4"/>
      <c r="H742" s="4"/>
      <c r="I742" s="4"/>
    </row>
    <row r="743">
      <c r="D743" s="4"/>
      <c r="E743" s="4"/>
      <c r="F743" s="4"/>
      <c r="H743" s="4"/>
      <c r="I743" s="4"/>
    </row>
    <row r="744">
      <c r="D744" s="4"/>
      <c r="E744" s="4"/>
      <c r="F744" s="4"/>
      <c r="H744" s="4"/>
      <c r="I744" s="4"/>
    </row>
    <row r="745">
      <c r="D745" s="4"/>
      <c r="E745" s="4"/>
      <c r="F745" s="4"/>
      <c r="H745" s="4"/>
      <c r="I745" s="4"/>
    </row>
    <row r="746">
      <c r="D746" s="4"/>
      <c r="E746" s="4"/>
      <c r="F746" s="4"/>
      <c r="H746" s="4"/>
      <c r="I746" s="4"/>
    </row>
    <row r="747">
      <c r="D747" s="4"/>
      <c r="E747" s="4"/>
      <c r="F747" s="4"/>
      <c r="H747" s="4"/>
      <c r="I747" s="4"/>
    </row>
    <row r="748">
      <c r="D748" s="4"/>
      <c r="E748" s="4"/>
      <c r="F748" s="4"/>
      <c r="H748" s="4"/>
      <c r="I748" s="4"/>
    </row>
    <row r="749">
      <c r="D749" s="4"/>
      <c r="E749" s="4"/>
      <c r="F749" s="4"/>
      <c r="H749" s="4"/>
      <c r="I749" s="4"/>
    </row>
    <row r="750">
      <c r="D750" s="4"/>
      <c r="E750" s="4"/>
      <c r="F750" s="4"/>
      <c r="H750" s="4"/>
      <c r="I750" s="4"/>
    </row>
    <row r="751">
      <c r="D751" s="4"/>
      <c r="E751" s="4"/>
      <c r="F751" s="4"/>
      <c r="H751" s="4"/>
      <c r="I751" s="4"/>
    </row>
    <row r="752">
      <c r="D752" s="4"/>
      <c r="E752" s="4"/>
      <c r="F752" s="4"/>
      <c r="H752" s="4"/>
      <c r="I752" s="4"/>
    </row>
    <row r="753">
      <c r="D753" s="4"/>
      <c r="E753" s="4"/>
      <c r="F753" s="4"/>
      <c r="H753" s="4"/>
      <c r="I753" s="4"/>
    </row>
    <row r="754">
      <c r="D754" s="4"/>
      <c r="E754" s="4"/>
      <c r="F754" s="4"/>
      <c r="H754" s="4"/>
      <c r="I754" s="4"/>
    </row>
    <row r="755">
      <c r="D755" s="4"/>
      <c r="E755" s="4"/>
      <c r="F755" s="4"/>
      <c r="H755" s="4"/>
      <c r="I755" s="4"/>
    </row>
    <row r="756">
      <c r="D756" s="4"/>
      <c r="E756" s="4"/>
      <c r="F756" s="4"/>
      <c r="H756" s="4"/>
      <c r="I756" s="4"/>
    </row>
    <row r="757">
      <c r="D757" s="4"/>
      <c r="E757" s="4"/>
      <c r="F757" s="4"/>
      <c r="H757" s="4"/>
      <c r="I757" s="4"/>
    </row>
    <row r="758">
      <c r="D758" s="4"/>
      <c r="E758" s="4"/>
      <c r="F758" s="4"/>
      <c r="H758" s="4"/>
      <c r="I758" s="4"/>
    </row>
    <row r="759">
      <c r="D759" s="4"/>
      <c r="E759" s="4"/>
      <c r="F759" s="4"/>
      <c r="H759" s="4"/>
      <c r="I759" s="4"/>
    </row>
    <row r="760">
      <c r="D760" s="4"/>
      <c r="E760" s="4"/>
      <c r="F760" s="4"/>
      <c r="H760" s="4"/>
      <c r="I760" s="4"/>
    </row>
    <row r="761">
      <c r="D761" s="4"/>
      <c r="E761" s="4"/>
      <c r="F761" s="4"/>
      <c r="H761" s="4"/>
      <c r="I761" s="4"/>
    </row>
    <row r="762">
      <c r="D762" s="4"/>
      <c r="E762" s="4"/>
      <c r="F762" s="4"/>
      <c r="H762" s="4"/>
      <c r="I762" s="4"/>
    </row>
    <row r="763">
      <c r="D763" s="4"/>
      <c r="E763" s="4"/>
      <c r="F763" s="4"/>
      <c r="H763" s="4"/>
      <c r="I763" s="4"/>
    </row>
    <row r="764">
      <c r="D764" s="4"/>
      <c r="E764" s="4"/>
      <c r="F764" s="4"/>
      <c r="H764" s="4"/>
      <c r="I764" s="4"/>
    </row>
    <row r="765">
      <c r="D765" s="4"/>
      <c r="E765" s="4"/>
      <c r="F765" s="4"/>
      <c r="H765" s="4"/>
      <c r="I765" s="4"/>
    </row>
    <row r="766">
      <c r="D766" s="4"/>
      <c r="E766" s="4"/>
      <c r="F766" s="4"/>
      <c r="H766" s="4"/>
      <c r="I766" s="4"/>
    </row>
    <row r="767">
      <c r="D767" s="4"/>
      <c r="E767" s="4"/>
      <c r="F767" s="4"/>
      <c r="H767" s="4"/>
      <c r="I767" s="4"/>
    </row>
    <row r="768">
      <c r="D768" s="4"/>
      <c r="E768" s="4"/>
      <c r="F768" s="4"/>
      <c r="H768" s="4"/>
      <c r="I768" s="4"/>
    </row>
    <row r="769">
      <c r="D769" s="4"/>
      <c r="E769" s="4"/>
      <c r="F769" s="4"/>
      <c r="H769" s="4"/>
      <c r="I769" s="4"/>
    </row>
    <row r="770">
      <c r="D770" s="4"/>
      <c r="E770" s="4"/>
      <c r="F770" s="4"/>
      <c r="H770" s="4"/>
      <c r="I770" s="4"/>
    </row>
    <row r="771">
      <c r="D771" s="4"/>
      <c r="E771" s="4"/>
      <c r="F771" s="4"/>
      <c r="H771" s="4"/>
      <c r="I771" s="4"/>
    </row>
    <row r="772">
      <c r="D772" s="4"/>
      <c r="E772" s="4"/>
      <c r="F772" s="4"/>
      <c r="H772" s="4"/>
      <c r="I772" s="4"/>
    </row>
    <row r="773">
      <c r="D773" s="4"/>
      <c r="E773" s="4"/>
      <c r="F773" s="4"/>
      <c r="H773" s="4"/>
      <c r="I773" s="4"/>
    </row>
    <row r="774">
      <c r="D774" s="4"/>
      <c r="E774" s="4"/>
      <c r="F774" s="4"/>
      <c r="H774" s="4"/>
      <c r="I774" s="4"/>
    </row>
    <row r="775">
      <c r="D775" s="4"/>
      <c r="E775" s="4"/>
      <c r="F775" s="4"/>
      <c r="H775" s="4"/>
      <c r="I775" s="4"/>
    </row>
    <row r="776">
      <c r="D776" s="4"/>
      <c r="E776" s="4"/>
      <c r="F776" s="4"/>
      <c r="H776" s="4"/>
      <c r="I776" s="4"/>
    </row>
    <row r="777">
      <c r="D777" s="4"/>
      <c r="E777" s="4"/>
      <c r="F777" s="4"/>
      <c r="H777" s="4"/>
      <c r="I777" s="4"/>
    </row>
    <row r="778">
      <c r="D778" s="4"/>
      <c r="E778" s="4"/>
      <c r="F778" s="4"/>
      <c r="H778" s="4"/>
      <c r="I778" s="4"/>
    </row>
    <row r="779">
      <c r="D779" s="4"/>
      <c r="E779" s="4"/>
      <c r="F779" s="4"/>
      <c r="H779" s="4"/>
      <c r="I779" s="4"/>
    </row>
    <row r="780">
      <c r="D780" s="4"/>
      <c r="E780" s="4"/>
      <c r="F780" s="4"/>
      <c r="H780" s="4"/>
      <c r="I780" s="4"/>
    </row>
    <row r="781">
      <c r="D781" s="4"/>
      <c r="E781" s="4"/>
      <c r="F781" s="4"/>
      <c r="H781" s="4"/>
      <c r="I781" s="4"/>
    </row>
    <row r="782">
      <c r="D782" s="4"/>
      <c r="E782" s="4"/>
      <c r="F782" s="4"/>
      <c r="H782" s="4"/>
      <c r="I782" s="4"/>
    </row>
    <row r="783">
      <c r="D783" s="4"/>
      <c r="E783" s="4"/>
      <c r="F783" s="4"/>
      <c r="H783" s="4"/>
      <c r="I783" s="4"/>
    </row>
    <row r="784">
      <c r="D784" s="4"/>
      <c r="E784" s="4"/>
      <c r="F784" s="4"/>
      <c r="H784" s="4"/>
      <c r="I784" s="4"/>
    </row>
    <row r="785">
      <c r="D785" s="4"/>
      <c r="E785" s="4"/>
      <c r="F785" s="4"/>
      <c r="H785" s="4"/>
      <c r="I785" s="4"/>
    </row>
    <row r="786">
      <c r="D786" s="4"/>
      <c r="E786" s="4"/>
      <c r="F786" s="4"/>
      <c r="H786" s="4"/>
      <c r="I786" s="4"/>
    </row>
    <row r="787">
      <c r="D787" s="4"/>
      <c r="E787" s="4"/>
      <c r="F787" s="4"/>
      <c r="H787" s="4"/>
      <c r="I787" s="4"/>
    </row>
    <row r="788">
      <c r="D788" s="4"/>
      <c r="E788" s="4"/>
      <c r="F788" s="4"/>
      <c r="H788" s="4"/>
      <c r="I788" s="4"/>
    </row>
    <row r="789">
      <c r="D789" s="4"/>
      <c r="E789" s="4"/>
      <c r="F789" s="4"/>
      <c r="H789" s="4"/>
      <c r="I789" s="4"/>
    </row>
    <row r="790">
      <c r="D790" s="4"/>
      <c r="E790" s="4"/>
      <c r="F790" s="4"/>
      <c r="H790" s="4"/>
      <c r="I790" s="4"/>
    </row>
    <row r="791">
      <c r="D791" s="4"/>
      <c r="E791" s="4"/>
      <c r="F791" s="4"/>
      <c r="H791" s="4"/>
      <c r="I791" s="4"/>
    </row>
    <row r="792">
      <c r="D792" s="4"/>
      <c r="E792" s="4"/>
      <c r="F792" s="4"/>
      <c r="H792" s="4"/>
      <c r="I792" s="4"/>
    </row>
    <row r="793">
      <c r="D793" s="4"/>
      <c r="E793" s="4"/>
      <c r="F793" s="4"/>
      <c r="H793" s="4"/>
      <c r="I793" s="4"/>
    </row>
    <row r="794">
      <c r="D794" s="4"/>
      <c r="E794" s="4"/>
      <c r="F794" s="4"/>
      <c r="H794" s="4"/>
      <c r="I794" s="4"/>
    </row>
    <row r="795">
      <c r="D795" s="4"/>
      <c r="E795" s="4"/>
      <c r="F795" s="4"/>
      <c r="H795" s="4"/>
      <c r="I795" s="4"/>
    </row>
    <row r="796">
      <c r="D796" s="4"/>
      <c r="E796" s="4"/>
      <c r="F796" s="4"/>
      <c r="H796" s="4"/>
      <c r="I796" s="4"/>
    </row>
    <row r="797">
      <c r="D797" s="4"/>
      <c r="E797" s="4"/>
      <c r="F797" s="4"/>
      <c r="H797" s="4"/>
      <c r="I797" s="4"/>
    </row>
    <row r="798">
      <c r="D798" s="4"/>
      <c r="E798" s="4"/>
      <c r="F798" s="4"/>
      <c r="H798" s="4"/>
      <c r="I798" s="4"/>
    </row>
    <row r="799">
      <c r="D799" s="4"/>
      <c r="E799" s="4"/>
      <c r="F799" s="4"/>
      <c r="H799" s="4"/>
      <c r="I799" s="4"/>
    </row>
    <row r="800">
      <c r="D800" s="4"/>
      <c r="E800" s="4"/>
      <c r="F800" s="4"/>
      <c r="H800" s="4"/>
      <c r="I800" s="4"/>
    </row>
    <row r="801">
      <c r="D801" s="4"/>
      <c r="E801" s="4"/>
      <c r="F801" s="4"/>
      <c r="H801" s="4"/>
      <c r="I801" s="4"/>
    </row>
    <row r="802">
      <c r="D802" s="4"/>
      <c r="E802" s="4"/>
      <c r="F802" s="4"/>
      <c r="H802" s="4"/>
      <c r="I802" s="4"/>
    </row>
    <row r="803">
      <c r="D803" s="4"/>
      <c r="E803" s="4"/>
      <c r="F803" s="4"/>
      <c r="H803" s="4"/>
      <c r="I803" s="4"/>
    </row>
    <row r="804">
      <c r="D804" s="4"/>
      <c r="E804" s="4"/>
      <c r="F804" s="4"/>
      <c r="H804" s="4"/>
      <c r="I804" s="4"/>
    </row>
    <row r="805">
      <c r="D805" s="4"/>
      <c r="E805" s="4"/>
      <c r="F805" s="4"/>
      <c r="H805" s="4"/>
      <c r="I805" s="4"/>
    </row>
    <row r="806">
      <c r="D806" s="4"/>
      <c r="E806" s="4"/>
      <c r="F806" s="4"/>
      <c r="H806" s="4"/>
      <c r="I806" s="4"/>
    </row>
    <row r="807">
      <c r="D807" s="4"/>
      <c r="E807" s="4"/>
      <c r="F807" s="4"/>
      <c r="H807" s="4"/>
      <c r="I807" s="4"/>
    </row>
    <row r="808">
      <c r="D808" s="4"/>
      <c r="E808" s="4"/>
      <c r="F808" s="4"/>
      <c r="H808" s="4"/>
      <c r="I808" s="4"/>
    </row>
    <row r="809">
      <c r="D809" s="4"/>
      <c r="E809" s="4"/>
      <c r="F809" s="4"/>
      <c r="H809" s="4"/>
      <c r="I809" s="4"/>
    </row>
    <row r="810">
      <c r="D810" s="4"/>
      <c r="E810" s="4"/>
      <c r="F810" s="4"/>
      <c r="H810" s="4"/>
      <c r="I810" s="4"/>
    </row>
    <row r="811">
      <c r="D811" s="4"/>
      <c r="E811" s="4"/>
      <c r="F811" s="4"/>
      <c r="H811" s="4"/>
      <c r="I811" s="4"/>
    </row>
    <row r="812">
      <c r="D812" s="4"/>
      <c r="E812" s="4"/>
      <c r="F812" s="4"/>
      <c r="H812" s="4"/>
      <c r="I812" s="4"/>
    </row>
    <row r="813">
      <c r="D813" s="4"/>
      <c r="E813" s="4"/>
      <c r="F813" s="4"/>
      <c r="H813" s="4"/>
      <c r="I813" s="4"/>
    </row>
    <row r="814">
      <c r="D814" s="4"/>
      <c r="E814" s="4"/>
      <c r="F814" s="4"/>
      <c r="H814" s="4"/>
      <c r="I814" s="4"/>
    </row>
    <row r="815">
      <c r="D815" s="4"/>
      <c r="E815" s="4"/>
      <c r="F815" s="4"/>
      <c r="H815" s="4"/>
      <c r="I815" s="4"/>
    </row>
    <row r="816">
      <c r="D816" s="4"/>
      <c r="E816" s="4"/>
      <c r="F816" s="4"/>
      <c r="H816" s="4"/>
      <c r="I816" s="4"/>
    </row>
    <row r="817">
      <c r="D817" s="4"/>
      <c r="E817" s="4"/>
      <c r="F817" s="4"/>
      <c r="H817" s="4"/>
      <c r="I817" s="4"/>
    </row>
    <row r="818">
      <c r="D818" s="4"/>
      <c r="E818" s="4"/>
      <c r="F818" s="4"/>
      <c r="H818" s="4"/>
      <c r="I818" s="4"/>
    </row>
    <row r="819">
      <c r="D819" s="4"/>
      <c r="E819" s="4"/>
      <c r="F819" s="4"/>
      <c r="H819" s="4"/>
      <c r="I819" s="4"/>
    </row>
    <row r="820">
      <c r="D820" s="4"/>
      <c r="E820" s="4"/>
      <c r="F820" s="4"/>
      <c r="H820" s="4"/>
      <c r="I820" s="4"/>
    </row>
    <row r="821">
      <c r="D821" s="4"/>
      <c r="E821" s="4"/>
      <c r="F821" s="4"/>
      <c r="H821" s="4"/>
      <c r="I821" s="4"/>
    </row>
    <row r="822">
      <c r="D822" s="4"/>
      <c r="E822" s="4"/>
      <c r="F822" s="4"/>
      <c r="H822" s="4"/>
      <c r="I822" s="4"/>
    </row>
    <row r="823">
      <c r="D823" s="4"/>
      <c r="E823" s="4"/>
      <c r="F823" s="4"/>
      <c r="H823" s="4"/>
      <c r="I823" s="4"/>
    </row>
    <row r="824">
      <c r="D824" s="4"/>
      <c r="E824" s="4"/>
      <c r="F824" s="4"/>
      <c r="H824" s="4"/>
      <c r="I824" s="4"/>
    </row>
    <row r="825">
      <c r="D825" s="4"/>
      <c r="E825" s="4"/>
      <c r="F825" s="4"/>
      <c r="H825" s="4"/>
      <c r="I825" s="4"/>
    </row>
    <row r="826">
      <c r="D826" s="4"/>
      <c r="E826" s="4"/>
      <c r="F826" s="4"/>
      <c r="H826" s="4"/>
      <c r="I826" s="4"/>
    </row>
    <row r="827">
      <c r="D827" s="4"/>
      <c r="E827" s="4"/>
      <c r="F827" s="4"/>
      <c r="H827" s="4"/>
      <c r="I827" s="4"/>
    </row>
    <row r="828">
      <c r="D828" s="4"/>
      <c r="E828" s="4"/>
      <c r="F828" s="4"/>
      <c r="H828" s="4"/>
      <c r="I828" s="4"/>
    </row>
    <row r="829">
      <c r="D829" s="4"/>
      <c r="E829" s="4"/>
      <c r="F829" s="4"/>
      <c r="H829" s="4"/>
      <c r="I829" s="4"/>
    </row>
    <row r="830">
      <c r="D830" s="4"/>
      <c r="E830" s="4"/>
      <c r="F830" s="4"/>
      <c r="H830" s="4"/>
      <c r="I830" s="4"/>
    </row>
    <row r="831">
      <c r="D831" s="4"/>
      <c r="E831" s="4"/>
      <c r="F831" s="4"/>
      <c r="H831" s="4"/>
      <c r="I831" s="4"/>
    </row>
    <row r="832">
      <c r="D832" s="4"/>
      <c r="E832" s="4"/>
      <c r="F832" s="4"/>
      <c r="H832" s="4"/>
      <c r="I832" s="4"/>
    </row>
    <row r="833">
      <c r="D833" s="4"/>
      <c r="E833" s="4"/>
      <c r="F833" s="4"/>
      <c r="H833" s="4"/>
      <c r="I833" s="4"/>
    </row>
    <row r="834">
      <c r="D834" s="4"/>
      <c r="E834" s="4"/>
      <c r="F834" s="4"/>
      <c r="H834" s="4"/>
      <c r="I834" s="4"/>
    </row>
    <row r="835">
      <c r="D835" s="4"/>
      <c r="E835" s="4"/>
      <c r="F835" s="4"/>
      <c r="H835" s="4"/>
      <c r="I835" s="4"/>
    </row>
    <row r="836">
      <c r="D836" s="4"/>
      <c r="E836" s="4"/>
      <c r="F836" s="4"/>
      <c r="H836" s="4"/>
      <c r="I836" s="4"/>
    </row>
    <row r="837">
      <c r="D837" s="4"/>
      <c r="E837" s="4"/>
      <c r="F837" s="4"/>
      <c r="H837" s="4"/>
      <c r="I837" s="4"/>
    </row>
    <row r="838">
      <c r="D838" s="4"/>
      <c r="E838" s="4"/>
      <c r="F838" s="4"/>
      <c r="H838" s="4"/>
      <c r="I838" s="4"/>
    </row>
    <row r="839">
      <c r="D839" s="4"/>
      <c r="E839" s="4"/>
      <c r="F839" s="4"/>
      <c r="H839" s="4"/>
      <c r="I839" s="4"/>
    </row>
    <row r="840">
      <c r="D840" s="4"/>
      <c r="E840" s="4"/>
      <c r="F840" s="4"/>
      <c r="H840" s="4"/>
      <c r="I840" s="4"/>
    </row>
    <row r="841">
      <c r="D841" s="4"/>
      <c r="E841" s="4"/>
      <c r="F841" s="4"/>
      <c r="H841" s="4"/>
      <c r="I841" s="4"/>
    </row>
    <row r="842">
      <c r="D842" s="4"/>
      <c r="E842" s="4"/>
      <c r="F842" s="4"/>
      <c r="H842" s="4"/>
      <c r="I842" s="4"/>
    </row>
    <row r="843">
      <c r="D843" s="4"/>
      <c r="E843" s="4"/>
      <c r="F843" s="4"/>
      <c r="H843" s="4"/>
      <c r="I843" s="4"/>
    </row>
    <row r="844">
      <c r="D844" s="4"/>
      <c r="E844" s="4"/>
      <c r="F844" s="4"/>
      <c r="H844" s="4"/>
      <c r="I844" s="4"/>
    </row>
    <row r="845">
      <c r="D845" s="4"/>
      <c r="E845" s="4"/>
      <c r="F845" s="4"/>
      <c r="H845" s="4"/>
      <c r="I845" s="4"/>
    </row>
    <row r="846">
      <c r="D846" s="4"/>
      <c r="E846" s="4"/>
      <c r="F846" s="4"/>
      <c r="H846" s="4"/>
      <c r="I846" s="4"/>
    </row>
    <row r="847">
      <c r="D847" s="4"/>
      <c r="E847" s="4"/>
      <c r="F847" s="4"/>
      <c r="H847" s="4"/>
      <c r="I847" s="4"/>
    </row>
    <row r="848">
      <c r="D848" s="4"/>
      <c r="E848" s="4"/>
      <c r="F848" s="4"/>
      <c r="H848" s="4"/>
      <c r="I848" s="4"/>
    </row>
    <row r="849">
      <c r="D849" s="4"/>
      <c r="E849" s="4"/>
      <c r="F849" s="4"/>
      <c r="H849" s="4"/>
      <c r="I849" s="4"/>
    </row>
    <row r="850">
      <c r="D850" s="4"/>
      <c r="E850" s="4"/>
      <c r="F850" s="4"/>
      <c r="H850" s="4"/>
      <c r="I850" s="4"/>
    </row>
    <row r="851">
      <c r="D851" s="4"/>
      <c r="E851" s="4"/>
      <c r="F851" s="4"/>
      <c r="H851" s="4"/>
      <c r="I851" s="4"/>
    </row>
    <row r="852">
      <c r="D852" s="4"/>
      <c r="E852" s="4"/>
      <c r="F852" s="4"/>
      <c r="H852" s="4"/>
      <c r="I852" s="4"/>
    </row>
    <row r="853">
      <c r="D853" s="4"/>
      <c r="E853" s="4"/>
      <c r="F853" s="4"/>
      <c r="H853" s="4"/>
      <c r="I853" s="4"/>
    </row>
    <row r="854">
      <c r="D854" s="4"/>
      <c r="E854" s="4"/>
      <c r="F854" s="4"/>
      <c r="H854" s="4"/>
      <c r="I854" s="4"/>
    </row>
    <row r="855">
      <c r="D855" s="4"/>
      <c r="E855" s="4"/>
      <c r="F855" s="4"/>
      <c r="H855" s="4"/>
      <c r="I855" s="4"/>
    </row>
    <row r="856">
      <c r="D856" s="4"/>
      <c r="E856" s="4"/>
      <c r="F856" s="4"/>
      <c r="H856" s="4"/>
      <c r="I856" s="4"/>
    </row>
    <row r="857">
      <c r="D857" s="4"/>
      <c r="E857" s="4"/>
      <c r="F857" s="4"/>
      <c r="H857" s="4"/>
      <c r="I857" s="4"/>
    </row>
    <row r="858">
      <c r="D858" s="4"/>
      <c r="E858" s="4"/>
      <c r="F858" s="4"/>
      <c r="H858" s="4"/>
      <c r="I858" s="4"/>
    </row>
    <row r="859">
      <c r="D859" s="4"/>
      <c r="E859" s="4"/>
      <c r="F859" s="4"/>
      <c r="H859" s="4"/>
      <c r="I859" s="4"/>
    </row>
    <row r="860">
      <c r="D860" s="4"/>
      <c r="E860" s="4"/>
      <c r="F860" s="4"/>
      <c r="H860" s="4"/>
      <c r="I860" s="4"/>
    </row>
    <row r="861">
      <c r="D861" s="4"/>
      <c r="E861" s="4"/>
      <c r="F861" s="4"/>
      <c r="H861" s="4"/>
      <c r="I861" s="4"/>
    </row>
    <row r="862">
      <c r="D862" s="4"/>
      <c r="E862" s="4"/>
      <c r="F862" s="4"/>
      <c r="H862" s="4"/>
      <c r="I862" s="4"/>
    </row>
    <row r="863">
      <c r="D863" s="4"/>
      <c r="E863" s="4"/>
      <c r="F863" s="4"/>
      <c r="H863" s="4"/>
      <c r="I863" s="4"/>
    </row>
    <row r="864">
      <c r="D864" s="4"/>
      <c r="E864" s="4"/>
      <c r="F864" s="4"/>
      <c r="H864" s="4"/>
      <c r="I864" s="4"/>
    </row>
    <row r="865">
      <c r="D865" s="4"/>
      <c r="E865" s="4"/>
      <c r="F865" s="4"/>
      <c r="H865" s="4"/>
      <c r="I865" s="4"/>
    </row>
    <row r="866">
      <c r="D866" s="4"/>
      <c r="E866" s="4"/>
      <c r="F866" s="4"/>
      <c r="H866" s="4"/>
      <c r="I866" s="4"/>
    </row>
    <row r="867">
      <c r="D867" s="4"/>
      <c r="E867" s="4"/>
      <c r="F867" s="4"/>
      <c r="H867" s="4"/>
      <c r="I867" s="4"/>
    </row>
    <row r="868">
      <c r="D868" s="4"/>
      <c r="E868" s="4"/>
      <c r="F868" s="4"/>
      <c r="H868" s="4"/>
      <c r="I868" s="4"/>
    </row>
    <row r="869">
      <c r="D869" s="4"/>
      <c r="E869" s="4"/>
      <c r="F869" s="4"/>
      <c r="H869" s="4"/>
      <c r="I869" s="4"/>
    </row>
    <row r="870">
      <c r="D870" s="4"/>
      <c r="E870" s="4"/>
      <c r="F870" s="4"/>
      <c r="H870" s="4"/>
      <c r="I870" s="4"/>
    </row>
    <row r="871">
      <c r="D871" s="4"/>
      <c r="E871" s="4"/>
      <c r="F871" s="4"/>
      <c r="H871" s="4"/>
      <c r="I871" s="4"/>
    </row>
    <row r="872">
      <c r="D872" s="4"/>
      <c r="E872" s="4"/>
      <c r="F872" s="4"/>
      <c r="H872" s="4"/>
      <c r="I872" s="4"/>
    </row>
    <row r="873">
      <c r="D873" s="4"/>
      <c r="E873" s="4"/>
      <c r="F873" s="4"/>
      <c r="H873" s="4"/>
      <c r="I873" s="4"/>
    </row>
    <row r="874">
      <c r="D874" s="4"/>
      <c r="E874" s="4"/>
      <c r="F874" s="4"/>
      <c r="H874" s="4"/>
      <c r="I874" s="4"/>
    </row>
    <row r="875">
      <c r="D875" s="4"/>
      <c r="E875" s="4"/>
      <c r="F875" s="4"/>
      <c r="H875" s="4"/>
      <c r="I875" s="4"/>
    </row>
    <row r="876">
      <c r="D876" s="4"/>
      <c r="E876" s="4"/>
      <c r="F876" s="4"/>
      <c r="H876" s="4"/>
      <c r="I876" s="4"/>
    </row>
    <row r="877">
      <c r="D877" s="4"/>
      <c r="E877" s="4"/>
      <c r="F877" s="4"/>
      <c r="H877" s="4"/>
      <c r="I877" s="4"/>
    </row>
    <row r="878">
      <c r="D878" s="4"/>
      <c r="E878" s="4"/>
      <c r="F878" s="4"/>
      <c r="H878" s="4"/>
      <c r="I878" s="4"/>
    </row>
    <row r="879">
      <c r="D879" s="4"/>
      <c r="E879" s="4"/>
      <c r="F879" s="4"/>
      <c r="H879" s="4"/>
      <c r="I879" s="4"/>
    </row>
    <row r="880">
      <c r="D880" s="4"/>
      <c r="E880" s="4"/>
      <c r="F880" s="4"/>
      <c r="H880" s="4"/>
      <c r="I880" s="4"/>
    </row>
    <row r="881">
      <c r="D881" s="4"/>
      <c r="E881" s="4"/>
      <c r="F881" s="4"/>
      <c r="H881" s="4"/>
      <c r="I881" s="4"/>
    </row>
    <row r="882">
      <c r="D882" s="4"/>
      <c r="E882" s="4"/>
      <c r="F882" s="4"/>
      <c r="H882" s="4"/>
      <c r="I882" s="4"/>
    </row>
    <row r="883">
      <c r="D883" s="4"/>
      <c r="E883" s="4"/>
      <c r="F883" s="4"/>
      <c r="H883" s="4"/>
      <c r="I883" s="4"/>
    </row>
    <row r="884">
      <c r="D884" s="4"/>
      <c r="E884" s="4"/>
      <c r="F884" s="4"/>
      <c r="H884" s="4"/>
      <c r="I884" s="4"/>
    </row>
    <row r="885">
      <c r="D885" s="4"/>
      <c r="E885" s="4"/>
      <c r="F885" s="4"/>
      <c r="H885" s="4"/>
      <c r="I885" s="4"/>
    </row>
    <row r="886">
      <c r="D886" s="4"/>
      <c r="E886" s="4"/>
      <c r="F886" s="4"/>
      <c r="H886" s="4"/>
      <c r="I886" s="4"/>
    </row>
    <row r="887">
      <c r="D887" s="4"/>
      <c r="E887" s="4"/>
      <c r="F887" s="4"/>
      <c r="H887" s="4"/>
      <c r="I887" s="4"/>
    </row>
    <row r="888">
      <c r="D888" s="4"/>
      <c r="E888" s="4"/>
      <c r="F888" s="4"/>
      <c r="H888" s="4"/>
      <c r="I888" s="4"/>
    </row>
    <row r="889">
      <c r="D889" s="4"/>
      <c r="E889" s="4"/>
      <c r="F889" s="4"/>
      <c r="H889" s="4"/>
      <c r="I889" s="4"/>
    </row>
    <row r="890">
      <c r="D890" s="4"/>
      <c r="E890" s="4"/>
      <c r="F890" s="4"/>
      <c r="H890" s="4"/>
      <c r="I890" s="4"/>
    </row>
    <row r="891">
      <c r="D891" s="4"/>
      <c r="E891" s="4"/>
      <c r="F891" s="4"/>
      <c r="H891" s="4"/>
      <c r="I891" s="4"/>
    </row>
    <row r="892">
      <c r="D892" s="4"/>
      <c r="E892" s="4"/>
      <c r="F892" s="4"/>
      <c r="H892" s="4"/>
      <c r="I892" s="4"/>
    </row>
    <row r="893">
      <c r="D893" s="4"/>
      <c r="E893" s="4"/>
      <c r="F893" s="4"/>
      <c r="H893" s="4"/>
      <c r="I893" s="4"/>
    </row>
    <row r="894">
      <c r="D894" s="4"/>
      <c r="E894" s="4"/>
      <c r="F894" s="4"/>
      <c r="H894" s="4"/>
      <c r="I894" s="4"/>
    </row>
    <row r="895">
      <c r="D895" s="4"/>
      <c r="E895" s="4"/>
      <c r="F895" s="4"/>
      <c r="H895" s="4"/>
      <c r="I895" s="4"/>
    </row>
    <row r="896">
      <c r="D896" s="4"/>
      <c r="E896" s="4"/>
      <c r="F896" s="4"/>
      <c r="H896" s="4"/>
      <c r="I896" s="4"/>
    </row>
    <row r="897">
      <c r="D897" s="4"/>
      <c r="E897" s="4"/>
      <c r="F897" s="4"/>
      <c r="H897" s="4"/>
      <c r="I897" s="4"/>
    </row>
    <row r="898">
      <c r="D898" s="4"/>
      <c r="E898" s="4"/>
      <c r="F898" s="4"/>
      <c r="H898" s="4"/>
      <c r="I898" s="4"/>
    </row>
    <row r="899">
      <c r="D899" s="4"/>
      <c r="E899" s="4"/>
      <c r="F899" s="4"/>
      <c r="H899" s="4"/>
      <c r="I899" s="4"/>
    </row>
    <row r="900">
      <c r="D900" s="4"/>
      <c r="E900" s="4"/>
      <c r="F900" s="4"/>
      <c r="H900" s="4"/>
      <c r="I900" s="4"/>
    </row>
    <row r="901">
      <c r="D901" s="4"/>
      <c r="E901" s="4"/>
      <c r="F901" s="4"/>
      <c r="H901" s="4"/>
      <c r="I901" s="4"/>
    </row>
    <row r="902">
      <c r="D902" s="4"/>
      <c r="E902" s="4"/>
      <c r="F902" s="4"/>
      <c r="H902" s="4"/>
      <c r="I902" s="4"/>
    </row>
    <row r="903">
      <c r="D903" s="4"/>
      <c r="E903" s="4"/>
      <c r="F903" s="4"/>
      <c r="H903" s="4"/>
      <c r="I903" s="4"/>
    </row>
    <row r="904">
      <c r="D904" s="4"/>
      <c r="E904" s="4"/>
      <c r="F904" s="4"/>
      <c r="H904" s="4"/>
      <c r="I904" s="4"/>
    </row>
    <row r="905">
      <c r="D905" s="4"/>
      <c r="E905" s="4"/>
      <c r="F905" s="4"/>
      <c r="H905" s="4"/>
      <c r="I905" s="4"/>
    </row>
    <row r="906">
      <c r="D906" s="4"/>
      <c r="E906" s="4"/>
      <c r="F906" s="4"/>
      <c r="H906" s="4"/>
      <c r="I906" s="4"/>
    </row>
    <row r="907">
      <c r="D907" s="4"/>
      <c r="E907" s="4"/>
      <c r="F907" s="4"/>
      <c r="H907" s="4"/>
      <c r="I907" s="4"/>
    </row>
    <row r="908">
      <c r="D908" s="4"/>
      <c r="E908" s="4"/>
      <c r="F908" s="4"/>
      <c r="H908" s="4"/>
      <c r="I908" s="4"/>
    </row>
    <row r="909">
      <c r="D909" s="4"/>
      <c r="E909" s="4"/>
      <c r="F909" s="4"/>
      <c r="H909" s="4"/>
      <c r="I909" s="4"/>
    </row>
    <row r="910">
      <c r="D910" s="4"/>
      <c r="E910" s="4"/>
      <c r="F910" s="4"/>
      <c r="H910" s="4"/>
      <c r="I910" s="4"/>
    </row>
    <row r="911">
      <c r="D911" s="4"/>
      <c r="E911" s="4"/>
      <c r="F911" s="4"/>
      <c r="H911" s="4"/>
      <c r="I911" s="4"/>
    </row>
    <row r="912">
      <c r="D912" s="4"/>
      <c r="E912" s="4"/>
      <c r="F912" s="4"/>
      <c r="H912" s="4"/>
      <c r="I912" s="4"/>
    </row>
    <row r="913">
      <c r="D913" s="4"/>
      <c r="E913" s="4"/>
      <c r="F913" s="4"/>
      <c r="H913" s="4"/>
      <c r="I913" s="4"/>
    </row>
    <row r="914">
      <c r="D914" s="4"/>
      <c r="E914" s="4"/>
      <c r="F914" s="4"/>
      <c r="H914" s="4"/>
      <c r="I914" s="4"/>
    </row>
    <row r="915">
      <c r="D915" s="4"/>
      <c r="E915" s="4"/>
      <c r="F915" s="4"/>
      <c r="H915" s="4"/>
      <c r="I915" s="4"/>
    </row>
    <row r="916">
      <c r="D916" s="4"/>
      <c r="E916" s="4"/>
      <c r="F916" s="4"/>
      <c r="H916" s="4"/>
      <c r="I916" s="4"/>
    </row>
    <row r="917">
      <c r="D917" s="4"/>
      <c r="E917" s="4"/>
      <c r="F917" s="4"/>
      <c r="H917" s="4"/>
      <c r="I917" s="4"/>
    </row>
    <row r="918">
      <c r="D918" s="4"/>
      <c r="E918" s="4"/>
      <c r="F918" s="4"/>
      <c r="H918" s="4"/>
      <c r="I918" s="4"/>
    </row>
    <row r="919">
      <c r="D919" s="4"/>
      <c r="E919" s="4"/>
      <c r="F919" s="4"/>
      <c r="H919" s="4"/>
      <c r="I919" s="4"/>
    </row>
    <row r="920">
      <c r="D920" s="4"/>
      <c r="E920" s="4"/>
      <c r="F920" s="4"/>
      <c r="H920" s="4"/>
      <c r="I920" s="4"/>
    </row>
    <row r="921">
      <c r="D921" s="4"/>
      <c r="E921" s="4"/>
      <c r="F921" s="4"/>
      <c r="H921" s="4"/>
      <c r="I921" s="4"/>
    </row>
    <row r="922">
      <c r="D922" s="4"/>
      <c r="E922" s="4"/>
      <c r="F922" s="4"/>
      <c r="H922" s="4"/>
      <c r="I922" s="4"/>
    </row>
    <row r="923">
      <c r="D923" s="4"/>
      <c r="E923" s="4"/>
      <c r="F923" s="4"/>
      <c r="H923" s="4"/>
      <c r="I923" s="4"/>
    </row>
    <row r="924">
      <c r="D924" s="4"/>
      <c r="E924" s="4"/>
      <c r="F924" s="4"/>
      <c r="H924" s="4"/>
      <c r="I924" s="4"/>
    </row>
    <row r="925">
      <c r="D925" s="4"/>
      <c r="E925" s="4"/>
      <c r="F925" s="4"/>
      <c r="H925" s="4"/>
      <c r="I925" s="4"/>
    </row>
    <row r="926">
      <c r="D926" s="4"/>
      <c r="E926" s="4"/>
      <c r="F926" s="4"/>
      <c r="H926" s="4"/>
      <c r="I926" s="4"/>
    </row>
    <row r="927">
      <c r="D927" s="4"/>
      <c r="E927" s="4"/>
      <c r="F927" s="4"/>
      <c r="H927" s="4"/>
      <c r="I927" s="4"/>
    </row>
    <row r="928">
      <c r="D928" s="4"/>
      <c r="E928" s="4"/>
      <c r="F928" s="4"/>
      <c r="H928" s="4"/>
      <c r="I928" s="4"/>
    </row>
    <row r="929">
      <c r="D929" s="4"/>
      <c r="E929" s="4"/>
      <c r="F929" s="4"/>
      <c r="H929" s="4"/>
      <c r="I929" s="4"/>
    </row>
    <row r="930">
      <c r="D930" s="4"/>
      <c r="E930" s="4"/>
      <c r="F930" s="4"/>
      <c r="H930" s="4"/>
      <c r="I930" s="4"/>
    </row>
    <row r="931">
      <c r="D931" s="4"/>
      <c r="E931" s="4"/>
      <c r="F931" s="4"/>
      <c r="H931" s="4"/>
      <c r="I931" s="4"/>
    </row>
    <row r="932">
      <c r="D932" s="4"/>
      <c r="E932" s="4"/>
      <c r="F932" s="4"/>
      <c r="H932" s="4"/>
      <c r="I932" s="4"/>
    </row>
    <row r="933">
      <c r="D933" s="4"/>
      <c r="E933" s="4"/>
      <c r="F933" s="4"/>
      <c r="H933" s="4"/>
      <c r="I933" s="4"/>
    </row>
    <row r="934">
      <c r="D934" s="4"/>
      <c r="E934" s="4"/>
      <c r="F934" s="4"/>
      <c r="H934" s="4"/>
      <c r="I934" s="4"/>
    </row>
    <row r="935">
      <c r="D935" s="4"/>
      <c r="E935" s="4"/>
      <c r="F935" s="4"/>
      <c r="H935" s="4"/>
      <c r="I935" s="4"/>
    </row>
    <row r="936">
      <c r="D936" s="4"/>
      <c r="E936" s="4"/>
      <c r="F936" s="4"/>
      <c r="H936" s="4"/>
      <c r="I936" s="4"/>
    </row>
    <row r="937">
      <c r="D937" s="4"/>
      <c r="E937" s="4"/>
      <c r="F937" s="4"/>
      <c r="H937" s="4"/>
      <c r="I937" s="4"/>
    </row>
    <row r="938">
      <c r="D938" s="4"/>
      <c r="E938" s="4"/>
      <c r="F938" s="4"/>
      <c r="H938" s="4"/>
      <c r="I938" s="4"/>
    </row>
    <row r="939">
      <c r="D939" s="4"/>
      <c r="E939" s="4"/>
      <c r="F939" s="4"/>
      <c r="H939" s="4"/>
      <c r="I939" s="4"/>
    </row>
    <row r="940">
      <c r="D940" s="4"/>
      <c r="E940" s="4"/>
      <c r="F940" s="4"/>
      <c r="H940" s="4"/>
      <c r="I940" s="4"/>
    </row>
    <row r="941">
      <c r="D941" s="4"/>
      <c r="E941" s="4"/>
      <c r="F941" s="4"/>
      <c r="H941" s="4"/>
      <c r="I941" s="4"/>
    </row>
    <row r="942">
      <c r="D942" s="4"/>
      <c r="E942" s="4"/>
      <c r="F942" s="4"/>
      <c r="H942" s="4"/>
      <c r="I942" s="4"/>
    </row>
    <row r="943">
      <c r="D943" s="4"/>
      <c r="E943" s="4"/>
      <c r="F943" s="4"/>
      <c r="H943" s="4"/>
      <c r="I943" s="4"/>
    </row>
    <row r="944">
      <c r="D944" s="4"/>
      <c r="E944" s="4"/>
      <c r="F944" s="4"/>
      <c r="H944" s="4"/>
      <c r="I944" s="4"/>
    </row>
    <row r="945">
      <c r="D945" s="4"/>
      <c r="E945" s="4"/>
      <c r="F945" s="4"/>
      <c r="H945" s="4"/>
      <c r="I945" s="4"/>
    </row>
    <row r="946">
      <c r="D946" s="4"/>
      <c r="E946" s="4"/>
      <c r="F946" s="4"/>
      <c r="H946" s="4"/>
      <c r="I946" s="4"/>
    </row>
    <row r="947">
      <c r="D947" s="4"/>
      <c r="E947" s="4"/>
      <c r="F947" s="4"/>
      <c r="H947" s="4"/>
      <c r="I947" s="4"/>
    </row>
    <row r="948">
      <c r="D948" s="4"/>
      <c r="E948" s="4"/>
      <c r="F948" s="4"/>
      <c r="H948" s="4"/>
      <c r="I948" s="4"/>
    </row>
    <row r="949">
      <c r="D949" s="4"/>
      <c r="E949" s="4"/>
      <c r="F949" s="4"/>
      <c r="H949" s="4"/>
      <c r="I949" s="4"/>
    </row>
    <row r="950">
      <c r="D950" s="4"/>
      <c r="E950" s="4"/>
      <c r="F950" s="4"/>
      <c r="H950" s="4"/>
      <c r="I950" s="4"/>
    </row>
    <row r="951">
      <c r="D951" s="4"/>
      <c r="E951" s="4"/>
      <c r="F951" s="4"/>
      <c r="H951" s="4"/>
      <c r="I951" s="4"/>
    </row>
    <row r="952">
      <c r="D952" s="4"/>
      <c r="E952" s="4"/>
      <c r="F952" s="4"/>
      <c r="H952" s="4"/>
      <c r="I952" s="4"/>
    </row>
    <row r="953">
      <c r="D953" s="4"/>
      <c r="E953" s="4"/>
      <c r="F953" s="4"/>
      <c r="H953" s="4"/>
      <c r="I953" s="4"/>
    </row>
    <row r="954">
      <c r="D954" s="4"/>
      <c r="E954" s="4"/>
      <c r="F954" s="4"/>
      <c r="H954" s="4"/>
      <c r="I954" s="4"/>
    </row>
    <row r="955">
      <c r="D955" s="4"/>
      <c r="E955" s="4"/>
      <c r="F955" s="4"/>
      <c r="H955" s="4"/>
      <c r="I955" s="4"/>
    </row>
    <row r="956">
      <c r="D956" s="4"/>
      <c r="E956" s="4"/>
      <c r="F956" s="4"/>
      <c r="H956" s="4"/>
      <c r="I956" s="4"/>
    </row>
    <row r="957">
      <c r="D957" s="4"/>
      <c r="E957" s="4"/>
      <c r="F957" s="4"/>
      <c r="H957" s="4"/>
      <c r="I957" s="4"/>
    </row>
    <row r="958">
      <c r="D958" s="4"/>
      <c r="E958" s="4"/>
      <c r="F958" s="4"/>
      <c r="H958" s="4"/>
      <c r="I958" s="4"/>
    </row>
    <row r="959">
      <c r="D959" s="4"/>
      <c r="E959" s="4"/>
      <c r="F959" s="4"/>
      <c r="H959" s="4"/>
      <c r="I959" s="4"/>
    </row>
    <row r="960">
      <c r="D960" s="4"/>
      <c r="E960" s="4"/>
      <c r="F960" s="4"/>
      <c r="H960" s="4"/>
      <c r="I960" s="4"/>
    </row>
    <row r="961">
      <c r="D961" s="4"/>
      <c r="E961" s="4"/>
      <c r="F961" s="4"/>
      <c r="H961" s="4"/>
      <c r="I961" s="4"/>
    </row>
    <row r="962">
      <c r="D962" s="4"/>
      <c r="E962" s="4"/>
      <c r="F962" s="4"/>
      <c r="H962" s="4"/>
      <c r="I962" s="4"/>
    </row>
    <row r="963">
      <c r="D963" s="4"/>
      <c r="E963" s="4"/>
      <c r="F963" s="4"/>
      <c r="H963" s="4"/>
      <c r="I963" s="4"/>
    </row>
    <row r="964">
      <c r="D964" s="4"/>
      <c r="E964" s="4"/>
      <c r="F964" s="4"/>
      <c r="H964" s="4"/>
      <c r="I964" s="4"/>
    </row>
    <row r="965">
      <c r="D965" s="4"/>
      <c r="E965" s="4"/>
      <c r="F965" s="4"/>
      <c r="H965" s="4"/>
      <c r="I965" s="4"/>
    </row>
    <row r="966">
      <c r="D966" s="4"/>
      <c r="E966" s="4"/>
      <c r="F966" s="4"/>
      <c r="H966" s="4"/>
      <c r="I966" s="4"/>
    </row>
    <row r="967">
      <c r="D967" s="4"/>
      <c r="E967" s="4"/>
      <c r="F967" s="4"/>
      <c r="H967" s="4"/>
      <c r="I967" s="4"/>
    </row>
    <row r="968">
      <c r="D968" s="4"/>
      <c r="E968" s="4"/>
      <c r="F968" s="4"/>
      <c r="H968" s="4"/>
      <c r="I968" s="4"/>
    </row>
    <row r="969">
      <c r="D969" s="4"/>
      <c r="E969" s="4"/>
      <c r="F969" s="4"/>
      <c r="H969" s="4"/>
      <c r="I969" s="4"/>
    </row>
    <row r="970">
      <c r="D970" s="4"/>
      <c r="E970" s="4"/>
      <c r="F970" s="4"/>
      <c r="H970" s="4"/>
      <c r="I970" s="4"/>
    </row>
    <row r="971">
      <c r="D971" s="4"/>
      <c r="E971" s="4"/>
      <c r="F971" s="4"/>
      <c r="H971" s="4"/>
      <c r="I971" s="4"/>
    </row>
    <row r="972">
      <c r="D972" s="4"/>
      <c r="E972" s="4"/>
      <c r="F972" s="4"/>
      <c r="H972" s="4"/>
      <c r="I972" s="4"/>
    </row>
    <row r="973">
      <c r="D973" s="4"/>
      <c r="E973" s="4"/>
      <c r="F973" s="4"/>
      <c r="H973" s="4"/>
      <c r="I973" s="4"/>
    </row>
    <row r="974">
      <c r="D974" s="4"/>
      <c r="E974" s="4"/>
      <c r="F974" s="4"/>
      <c r="H974" s="4"/>
      <c r="I974" s="4"/>
    </row>
    <row r="975">
      <c r="D975" s="4"/>
      <c r="E975" s="4"/>
      <c r="F975" s="4"/>
      <c r="H975" s="4"/>
      <c r="I975" s="4"/>
    </row>
    <row r="976">
      <c r="D976" s="4"/>
      <c r="E976" s="4"/>
      <c r="F976" s="4"/>
      <c r="H976" s="4"/>
      <c r="I976" s="4"/>
    </row>
    <row r="977">
      <c r="D977" s="4"/>
      <c r="E977" s="4"/>
      <c r="F977" s="4"/>
      <c r="H977" s="4"/>
      <c r="I977" s="4"/>
    </row>
    <row r="978">
      <c r="D978" s="4"/>
      <c r="E978" s="4"/>
      <c r="F978" s="4"/>
      <c r="H978" s="4"/>
      <c r="I978" s="4"/>
    </row>
    <row r="979">
      <c r="D979" s="4"/>
      <c r="E979" s="4"/>
      <c r="F979" s="4"/>
      <c r="H979" s="4"/>
      <c r="I979" s="4"/>
    </row>
    <row r="980">
      <c r="D980" s="4"/>
      <c r="E980" s="4"/>
      <c r="F980" s="4"/>
      <c r="H980" s="4"/>
      <c r="I980" s="4"/>
    </row>
    <row r="981">
      <c r="D981" s="4"/>
      <c r="E981" s="4"/>
      <c r="F981" s="4"/>
      <c r="H981" s="4"/>
      <c r="I981" s="4"/>
    </row>
    <row r="982">
      <c r="D982" s="4"/>
      <c r="E982" s="4"/>
      <c r="F982" s="4"/>
      <c r="H982" s="4"/>
      <c r="I982" s="4"/>
    </row>
    <row r="983">
      <c r="D983" s="4"/>
      <c r="E983" s="4"/>
      <c r="F983" s="4"/>
      <c r="H983" s="4"/>
      <c r="I983" s="4"/>
    </row>
    <row r="984">
      <c r="D984" s="4"/>
      <c r="E984" s="4"/>
      <c r="F984" s="4"/>
      <c r="H984" s="4"/>
      <c r="I984" s="4"/>
    </row>
    <row r="985">
      <c r="D985" s="4"/>
      <c r="E985" s="4"/>
      <c r="F985" s="4"/>
      <c r="H985" s="4"/>
      <c r="I985" s="4"/>
    </row>
    <row r="986">
      <c r="D986" s="4"/>
      <c r="E986" s="4"/>
      <c r="F986" s="4"/>
      <c r="H986" s="4"/>
      <c r="I986" s="4"/>
    </row>
    <row r="987">
      <c r="D987" s="4"/>
      <c r="E987" s="4"/>
      <c r="F987" s="4"/>
      <c r="H987" s="4"/>
      <c r="I987" s="4"/>
    </row>
    <row r="988">
      <c r="D988" s="4"/>
      <c r="E988" s="4"/>
      <c r="F988" s="4"/>
      <c r="H988" s="4"/>
      <c r="I988" s="4"/>
    </row>
    <row r="989">
      <c r="D989" s="4"/>
      <c r="E989" s="4"/>
      <c r="F989" s="4"/>
      <c r="H989" s="4"/>
      <c r="I989" s="4"/>
    </row>
    <row r="990">
      <c r="D990" s="4"/>
      <c r="E990" s="4"/>
      <c r="F990" s="4"/>
      <c r="H990" s="4"/>
      <c r="I990" s="4"/>
    </row>
    <row r="991">
      <c r="D991" s="4"/>
      <c r="E991" s="4"/>
      <c r="F991" s="4"/>
      <c r="H991" s="4"/>
      <c r="I991" s="4"/>
    </row>
    <row r="992">
      <c r="D992" s="4"/>
      <c r="E992" s="4"/>
      <c r="F992" s="4"/>
      <c r="H992" s="4"/>
      <c r="I992" s="4"/>
    </row>
    <row r="993">
      <c r="D993" s="4"/>
      <c r="E993" s="4"/>
      <c r="F993" s="4"/>
      <c r="H993" s="4"/>
      <c r="I993" s="4"/>
    </row>
    <row r="994">
      <c r="D994" s="4"/>
      <c r="E994" s="4"/>
      <c r="F994" s="4"/>
      <c r="H994" s="4"/>
      <c r="I994" s="4"/>
    </row>
    <row r="995">
      <c r="D995" s="4"/>
      <c r="E995" s="4"/>
      <c r="F995" s="4"/>
      <c r="H995" s="4"/>
      <c r="I995" s="4"/>
    </row>
    <row r="996">
      <c r="D996" s="4"/>
      <c r="E996" s="4"/>
      <c r="F996" s="4"/>
      <c r="H996" s="4"/>
      <c r="I996" s="4"/>
    </row>
    <row r="997">
      <c r="D997" s="4"/>
      <c r="E997" s="4"/>
      <c r="F997" s="4"/>
      <c r="H997" s="4"/>
      <c r="I997" s="4"/>
    </row>
    <row r="998">
      <c r="D998" s="4"/>
      <c r="E998" s="4"/>
      <c r="F998" s="4"/>
      <c r="H998" s="4"/>
      <c r="I998" s="4"/>
    </row>
    <row r="999">
      <c r="D999" s="4"/>
      <c r="E999" s="4"/>
      <c r="F999" s="4"/>
      <c r="H999" s="4"/>
      <c r="I999" s="4"/>
    </row>
    <row r="1000">
      <c r="D1000" s="4"/>
      <c r="E1000" s="4"/>
      <c r="F1000" s="4"/>
      <c r="H1000" s="4"/>
      <c r="I1000" s="4"/>
    </row>
    <row r="1001">
      <c r="D1001" s="4"/>
      <c r="E1001" s="4"/>
      <c r="F1001" s="4"/>
      <c r="H1001" s="4"/>
      <c r="I1001" s="4"/>
    </row>
    <row r="1002">
      <c r="D1002" s="4"/>
      <c r="E1002" s="4"/>
      <c r="F1002" s="4"/>
      <c r="H1002" s="4"/>
      <c r="I1002" s="4"/>
    </row>
    <row r="1003">
      <c r="D1003" s="4"/>
      <c r="E1003" s="4"/>
      <c r="F1003" s="4"/>
      <c r="H1003" s="4"/>
      <c r="I1003" s="4"/>
    </row>
    <row r="1004">
      <c r="D1004" s="4"/>
      <c r="E1004" s="4"/>
      <c r="F1004" s="4"/>
      <c r="H1004" s="4"/>
      <c r="I1004" s="4"/>
    </row>
    <row r="1005">
      <c r="D1005" s="4"/>
      <c r="E1005" s="4"/>
      <c r="F1005" s="4"/>
      <c r="H1005" s="4"/>
      <c r="I1005" s="4"/>
    </row>
    <row r="1006">
      <c r="D1006" s="4"/>
      <c r="E1006" s="4"/>
      <c r="F1006" s="4"/>
      <c r="H1006" s="4"/>
      <c r="I1006" s="4"/>
    </row>
    <row r="1007">
      <c r="D1007" s="4"/>
      <c r="E1007" s="4"/>
      <c r="F1007" s="4"/>
      <c r="H1007" s="4"/>
      <c r="I1007" s="4"/>
    </row>
    <row r="1008">
      <c r="D1008" s="4"/>
      <c r="E1008" s="4"/>
      <c r="F1008" s="4"/>
      <c r="H1008" s="4"/>
      <c r="I1008" s="4"/>
    </row>
    <row r="1009">
      <c r="D1009" s="4"/>
      <c r="E1009" s="4"/>
      <c r="F1009" s="4"/>
      <c r="H1009" s="4"/>
      <c r="I1009" s="4"/>
    </row>
    <row r="1010">
      <c r="D1010" s="4"/>
      <c r="E1010" s="4"/>
      <c r="F1010" s="4"/>
      <c r="H1010" s="4"/>
      <c r="I1010" s="4"/>
    </row>
    <row r="1011">
      <c r="D1011" s="4"/>
      <c r="E1011" s="4"/>
      <c r="F1011" s="4"/>
      <c r="H1011" s="4"/>
      <c r="I1011" s="4"/>
    </row>
    <row r="1012">
      <c r="D1012" s="4"/>
      <c r="E1012" s="4"/>
      <c r="F1012" s="4"/>
      <c r="H1012" s="4"/>
      <c r="I1012" s="4"/>
    </row>
    <row r="1013">
      <c r="D1013" s="4"/>
      <c r="E1013" s="4"/>
      <c r="F1013" s="4"/>
      <c r="H1013" s="4"/>
      <c r="I1013" s="4"/>
    </row>
    <row r="1014">
      <c r="D1014" s="4"/>
      <c r="E1014" s="4"/>
      <c r="F1014" s="4"/>
      <c r="H1014" s="4"/>
      <c r="I1014" s="4"/>
    </row>
    <row r="1015">
      <c r="D1015" s="4"/>
      <c r="E1015" s="4"/>
      <c r="F1015" s="4"/>
      <c r="H1015" s="4"/>
      <c r="I1015" s="4"/>
    </row>
    <row r="1016">
      <c r="D1016" s="4"/>
      <c r="E1016" s="4"/>
      <c r="F1016" s="4"/>
      <c r="H1016" s="4"/>
      <c r="I1016" s="4"/>
    </row>
    <row r="1017">
      <c r="D1017" s="4"/>
      <c r="E1017" s="4"/>
      <c r="F1017" s="4"/>
      <c r="H1017" s="4"/>
      <c r="I1017" s="4"/>
    </row>
    <row r="1018">
      <c r="D1018" s="4"/>
      <c r="E1018" s="4"/>
      <c r="F1018" s="4"/>
      <c r="H1018" s="4"/>
      <c r="I1018" s="4"/>
    </row>
    <row r="1019">
      <c r="D1019" s="4"/>
      <c r="E1019" s="4"/>
      <c r="F1019" s="4"/>
      <c r="H1019" s="4"/>
      <c r="I1019" s="4"/>
    </row>
    <row r="1020">
      <c r="D1020" s="4"/>
      <c r="E1020" s="4"/>
      <c r="F1020" s="4"/>
      <c r="H1020" s="4"/>
      <c r="I1020" s="4"/>
    </row>
    <row r="1021">
      <c r="D1021" s="4"/>
      <c r="E1021" s="4"/>
      <c r="F1021" s="4"/>
      <c r="H1021" s="4"/>
      <c r="I1021" s="4"/>
    </row>
    <row r="1022">
      <c r="D1022" s="4"/>
      <c r="E1022" s="4"/>
      <c r="F1022" s="4"/>
      <c r="H1022" s="4"/>
      <c r="I1022" s="4"/>
    </row>
    <row r="1023">
      <c r="D1023" s="4"/>
      <c r="E1023" s="4"/>
      <c r="F1023" s="4"/>
      <c r="H1023" s="4"/>
      <c r="I1023" s="4"/>
    </row>
    <row r="1024">
      <c r="D1024" s="4"/>
      <c r="E1024" s="4"/>
      <c r="F1024" s="4"/>
      <c r="H1024" s="4"/>
      <c r="I1024" s="4"/>
    </row>
    <row r="1025">
      <c r="D1025" s="4"/>
      <c r="E1025" s="4"/>
      <c r="F1025" s="4"/>
      <c r="H1025" s="4"/>
      <c r="I1025" s="4"/>
    </row>
    <row r="1026">
      <c r="D1026" s="4"/>
      <c r="E1026" s="4"/>
      <c r="F1026" s="4"/>
      <c r="H1026" s="4"/>
      <c r="I1026" s="4"/>
    </row>
    <row r="1027">
      <c r="D1027" s="4"/>
      <c r="E1027" s="4"/>
      <c r="F1027" s="4"/>
      <c r="H1027" s="4"/>
      <c r="I1027" s="4"/>
    </row>
    <row r="1028">
      <c r="D1028" s="4"/>
      <c r="E1028" s="4"/>
      <c r="F1028" s="4"/>
      <c r="H1028" s="4"/>
      <c r="I1028" s="4"/>
    </row>
    <row r="1029">
      <c r="D1029" s="4"/>
      <c r="E1029" s="4"/>
      <c r="F1029" s="4"/>
      <c r="H1029" s="4"/>
      <c r="I1029" s="4"/>
    </row>
  </sheetData>
  <mergeCells count="2">
    <mergeCell ref="E22:F22"/>
    <mergeCell ref="G22:J22"/>
  </mergeCells>
  <dataValidations>
    <dataValidation type="list" allowBlank="1" showErrorMessage="1" sqref="B1">
      <formula1>'DeepSeekV3 config'!$C$1:$E$1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</cols>
  <sheetData>
    <row r="1">
      <c r="A1" s="59"/>
      <c r="B1" s="59" t="s">
        <v>81</v>
      </c>
      <c r="C1" s="59" t="s">
        <v>1</v>
      </c>
      <c r="D1" s="59" t="s">
        <v>82</v>
      </c>
      <c r="E1" s="59" t="s">
        <v>83</v>
      </c>
    </row>
    <row r="2">
      <c r="A2" s="59"/>
      <c r="B2" s="59" t="s">
        <v>84</v>
      </c>
      <c r="C2" s="60" t="s">
        <v>84</v>
      </c>
      <c r="D2" s="60" t="s">
        <v>84</v>
      </c>
      <c r="E2" s="60" t="s">
        <v>84</v>
      </c>
    </row>
    <row r="3">
      <c r="A3" s="61" t="s">
        <v>85</v>
      </c>
      <c r="B3" s="59" t="s">
        <v>7</v>
      </c>
      <c r="C3" s="9">
        <v>129280.0</v>
      </c>
      <c r="D3" s="9">
        <v>102400.0</v>
      </c>
      <c r="E3" s="9">
        <v>102400.0</v>
      </c>
    </row>
    <row r="4">
      <c r="A4" s="61" t="s">
        <v>86</v>
      </c>
      <c r="B4" s="59" t="s">
        <v>9</v>
      </c>
      <c r="C4" s="9">
        <v>7168.0</v>
      </c>
      <c r="D4" s="9">
        <v>5120.0</v>
      </c>
      <c r="E4" s="9">
        <v>2048.0</v>
      </c>
    </row>
    <row r="5">
      <c r="A5" s="59"/>
      <c r="B5" s="59" t="s">
        <v>19</v>
      </c>
      <c r="C5" s="9">
        <v>18432.0</v>
      </c>
      <c r="D5" s="9">
        <v>12288.0</v>
      </c>
      <c r="E5" s="9">
        <v>10944.0</v>
      </c>
    </row>
    <row r="6">
      <c r="A6" s="59"/>
      <c r="B6" s="59" t="s">
        <v>20</v>
      </c>
      <c r="C6" s="9">
        <v>2048.0</v>
      </c>
      <c r="D6" s="9">
        <v>1536.0</v>
      </c>
      <c r="E6" s="9">
        <v>1408.0</v>
      </c>
    </row>
    <row r="7">
      <c r="A7" s="59"/>
      <c r="B7" s="59" t="s">
        <v>24</v>
      </c>
      <c r="C7" s="9">
        <v>61.0</v>
      </c>
      <c r="D7" s="9">
        <v>60.0</v>
      </c>
      <c r="E7" s="9">
        <v>27.0</v>
      </c>
    </row>
    <row r="8">
      <c r="A8" s="59"/>
      <c r="B8" s="59" t="s">
        <v>25</v>
      </c>
      <c r="C8" s="9">
        <v>3.0</v>
      </c>
      <c r="D8" s="9">
        <v>1.0</v>
      </c>
      <c r="E8" s="9">
        <v>1.0</v>
      </c>
    </row>
    <row r="9">
      <c r="A9" s="59"/>
      <c r="B9" s="59" t="s">
        <v>13</v>
      </c>
      <c r="C9" s="9">
        <v>128.0</v>
      </c>
      <c r="D9" s="9">
        <v>128.0</v>
      </c>
      <c r="E9" s="9">
        <v>16.0</v>
      </c>
    </row>
    <row r="10">
      <c r="A10" s="59"/>
      <c r="B10" s="59" t="s">
        <v>21</v>
      </c>
      <c r="C10" s="9">
        <v>256.0</v>
      </c>
      <c r="D10" s="9">
        <v>160.0</v>
      </c>
      <c r="E10" s="9">
        <v>64.0</v>
      </c>
    </row>
    <row r="11">
      <c r="A11" s="59"/>
      <c r="B11" s="59" t="s">
        <v>22</v>
      </c>
      <c r="C11" s="9">
        <v>1.0</v>
      </c>
      <c r="D11" s="9">
        <v>2.0</v>
      </c>
      <c r="E11" s="9">
        <v>2.0</v>
      </c>
    </row>
    <row r="12">
      <c r="A12" s="59"/>
      <c r="B12" s="59" t="s">
        <v>23</v>
      </c>
      <c r="C12" s="9">
        <v>8.0</v>
      </c>
      <c r="D12" s="9">
        <v>6.0</v>
      </c>
      <c r="E12" s="9">
        <v>6.0</v>
      </c>
    </row>
    <row r="13">
      <c r="A13" s="59"/>
      <c r="B13" s="59" t="s">
        <v>87</v>
      </c>
      <c r="C13" s="9">
        <v>8.0</v>
      </c>
      <c r="D13" s="9">
        <v>8.0</v>
      </c>
      <c r="E13" s="59"/>
    </row>
    <row r="14">
      <c r="A14" s="59"/>
      <c r="B14" s="59" t="s">
        <v>88</v>
      </c>
      <c r="C14" s="9">
        <v>4.0</v>
      </c>
      <c r="D14" s="9">
        <v>3.0</v>
      </c>
      <c r="E14" s="59"/>
    </row>
    <row r="15">
      <c r="A15" s="59"/>
      <c r="B15" s="59" t="s">
        <v>89</v>
      </c>
      <c r="C15" s="9">
        <v>2.5</v>
      </c>
      <c r="D15" s="9">
        <v>16.0</v>
      </c>
      <c r="E15" s="9">
        <v>1.0</v>
      </c>
    </row>
    <row r="16">
      <c r="A16" s="59"/>
      <c r="B16" s="59" t="s">
        <v>90</v>
      </c>
      <c r="C16" s="59" t="s">
        <v>91</v>
      </c>
      <c r="D16" s="59"/>
      <c r="E16" s="59"/>
    </row>
    <row r="17">
      <c r="A17" s="61"/>
      <c r="B17" s="59" t="s">
        <v>11</v>
      </c>
      <c r="C17" s="9">
        <v>1536.0</v>
      </c>
      <c r="D17" s="9">
        <v>1536.0</v>
      </c>
      <c r="E17" s="9">
        <v>0.0</v>
      </c>
    </row>
    <row r="18">
      <c r="A18" s="61" t="s">
        <v>92</v>
      </c>
      <c r="B18" s="59" t="s">
        <v>17</v>
      </c>
      <c r="C18" s="9">
        <v>512.0</v>
      </c>
      <c r="D18" s="9">
        <v>512.0</v>
      </c>
      <c r="E18" s="9">
        <v>512.0</v>
      </c>
    </row>
    <row r="19">
      <c r="A19" s="61" t="s">
        <v>93</v>
      </c>
      <c r="B19" s="59" t="s">
        <v>94</v>
      </c>
      <c r="C19" s="9">
        <v>128.0</v>
      </c>
      <c r="D19" s="9">
        <v>128.0</v>
      </c>
      <c r="E19" s="9">
        <v>128.0</v>
      </c>
    </row>
    <row r="20">
      <c r="A20" s="59"/>
      <c r="B20" s="59" t="s">
        <v>16</v>
      </c>
      <c r="C20" s="9">
        <v>64.0</v>
      </c>
      <c r="D20" s="9">
        <v>64.0</v>
      </c>
      <c r="E20" s="9">
        <v>64.0</v>
      </c>
    </row>
    <row r="21">
      <c r="A21" s="59"/>
      <c r="B21" s="59" t="s">
        <v>15</v>
      </c>
      <c r="C21" s="9">
        <f t="shared" ref="C21:D21" si="1">C19+C20</f>
        <v>192</v>
      </c>
      <c r="D21" s="9">
        <f t="shared" si="1"/>
        <v>192</v>
      </c>
      <c r="E21" s="9">
        <v>192.0</v>
      </c>
    </row>
    <row r="22">
      <c r="A22" s="59"/>
      <c r="B22" s="59" t="s">
        <v>18</v>
      </c>
      <c r="C22" s="9">
        <v>128.0</v>
      </c>
      <c r="D22" s="9">
        <v>128.0</v>
      </c>
      <c r="E22" s="9">
        <v>128.0</v>
      </c>
    </row>
    <row r="35">
      <c r="I35" s="62"/>
      <c r="J35" s="20"/>
      <c r="K35" s="20"/>
      <c r="L35" s="20"/>
      <c r="M35" s="20"/>
      <c r="N35" s="20"/>
      <c r="O35" s="63"/>
      <c r="P35" s="63"/>
      <c r="Q35" s="20"/>
      <c r="R35" s="20"/>
      <c r="S35" s="64"/>
    </row>
    <row r="37">
      <c r="I37" s="31"/>
      <c r="J37" s="62"/>
      <c r="K37" s="62"/>
      <c r="L37" s="62"/>
      <c r="M37" s="62"/>
      <c r="N37" s="62"/>
      <c r="O37" s="62"/>
      <c r="P37" s="62"/>
      <c r="Q37" s="62"/>
      <c r="R37" s="62"/>
      <c r="S37" s="65"/>
    </row>
    <row r="38">
      <c r="I38" s="31"/>
      <c r="J38" s="14"/>
      <c r="K38" s="14"/>
      <c r="L38" s="66"/>
      <c r="M38" s="66"/>
      <c r="N38" s="66"/>
      <c r="O38" s="56"/>
      <c r="P38" s="56"/>
      <c r="Q38" s="56"/>
      <c r="R38" s="43"/>
      <c r="S38" s="67"/>
    </row>
    <row r="39">
      <c r="I39" s="31"/>
      <c r="J39" s="66"/>
      <c r="K39" s="66"/>
      <c r="L39" s="66"/>
      <c r="M39" s="66"/>
      <c r="N39" s="66"/>
      <c r="O39" s="56"/>
      <c r="P39" s="56"/>
      <c r="Q39" s="56"/>
      <c r="R39" s="43"/>
      <c r="S39" s="67"/>
    </row>
    <row r="40">
      <c r="I40" s="31"/>
      <c r="J40" s="66"/>
      <c r="K40" s="66"/>
      <c r="L40" s="66"/>
      <c r="M40" s="66"/>
      <c r="N40" s="66"/>
      <c r="O40" s="56"/>
      <c r="P40" s="56"/>
      <c r="Q40" s="56"/>
      <c r="R40" s="43"/>
      <c r="S40" s="67"/>
    </row>
    <row r="41">
      <c r="I41" s="31"/>
      <c r="J41" s="14"/>
      <c r="K41" s="14"/>
      <c r="L41" s="14"/>
      <c r="M41" s="14"/>
      <c r="N41" s="14"/>
      <c r="O41" s="43"/>
      <c r="P41" s="43"/>
      <c r="Q41" s="43"/>
      <c r="R41" s="43"/>
      <c r="S41" s="67"/>
    </row>
    <row r="42">
      <c r="I42" s="31"/>
      <c r="J42" s="66"/>
      <c r="K42" s="66"/>
      <c r="L42" s="66"/>
      <c r="M42" s="66"/>
      <c r="N42" s="66"/>
      <c r="O42" s="43"/>
      <c r="P42" s="43"/>
      <c r="Q42" s="43"/>
      <c r="R42" s="43"/>
      <c r="S42" s="68"/>
    </row>
    <row r="43">
      <c r="I43" s="31"/>
      <c r="J43" s="57"/>
      <c r="K43" s="57"/>
      <c r="L43" s="57"/>
      <c r="M43" s="57"/>
      <c r="N43" s="57"/>
      <c r="O43" s="57"/>
      <c r="P43" s="57"/>
      <c r="Q43" s="57"/>
      <c r="R43" s="57"/>
      <c r="S43" s="67"/>
    </row>
    <row r="44">
      <c r="I44" s="32"/>
      <c r="J44" s="15"/>
      <c r="K44" s="15"/>
      <c r="L44" s="15"/>
      <c r="M44" s="15"/>
      <c r="N44" s="15"/>
      <c r="O44" s="15"/>
      <c r="P44" s="15"/>
      <c r="Q44" s="15"/>
      <c r="R44" s="15"/>
      <c r="S44" s="67"/>
    </row>
    <row r="45">
      <c r="I45" s="32"/>
      <c r="J45" s="15"/>
      <c r="K45" s="15"/>
      <c r="L45" s="15"/>
      <c r="M45" s="15"/>
      <c r="N45" s="15"/>
      <c r="O45" s="15"/>
      <c r="P45" s="15"/>
      <c r="Q45" s="15"/>
      <c r="R45" s="43"/>
      <c r="S45" s="67"/>
    </row>
    <row r="46">
      <c r="I46" s="32"/>
      <c r="J46" s="15"/>
      <c r="K46" s="15"/>
      <c r="L46" s="15"/>
      <c r="M46" s="15"/>
      <c r="N46" s="15"/>
      <c r="S46" s="68"/>
    </row>
    <row r="47">
      <c r="I47" s="31"/>
      <c r="J47" s="15"/>
      <c r="K47" s="15"/>
      <c r="L47" s="15"/>
      <c r="M47" s="15"/>
      <c r="N47" s="15"/>
      <c r="O47" s="43"/>
      <c r="P47" s="43"/>
      <c r="Q47" s="43"/>
      <c r="R47" s="43"/>
      <c r="S47" s="68"/>
    </row>
    <row r="48">
      <c r="I48" s="32"/>
      <c r="J48" s="15"/>
      <c r="K48" s="15"/>
      <c r="L48" s="15"/>
      <c r="M48" s="15"/>
      <c r="N48" s="15"/>
      <c r="O48" s="43"/>
      <c r="P48" s="43"/>
      <c r="Q48" s="43"/>
      <c r="R48" s="43"/>
      <c r="S48" s="67"/>
    </row>
    <row r="49">
      <c r="I49" s="32"/>
      <c r="J49" s="15"/>
      <c r="K49" s="15"/>
      <c r="L49" s="15"/>
      <c r="M49" s="15"/>
      <c r="N49" s="15"/>
      <c r="O49" s="43"/>
      <c r="P49" s="43"/>
      <c r="Q49" s="43"/>
      <c r="R49" s="43"/>
      <c r="S49" s="67"/>
    </row>
    <row r="50">
      <c r="I50" s="32"/>
      <c r="J50" s="15"/>
      <c r="K50" s="15"/>
      <c r="L50" s="15"/>
      <c r="M50" s="15"/>
      <c r="N50" s="15"/>
      <c r="O50" s="43"/>
      <c r="P50" s="43"/>
      <c r="Q50" s="43"/>
      <c r="R50" s="43"/>
      <c r="S50" s="67"/>
    </row>
    <row r="51">
      <c r="I51" s="31"/>
      <c r="J51" s="66"/>
      <c r="K51" s="66"/>
      <c r="L51" s="66"/>
      <c r="M51" s="66"/>
      <c r="N51" s="66"/>
      <c r="O51" s="66"/>
      <c r="P51" s="66"/>
      <c r="Q51" s="66"/>
      <c r="R51" s="43"/>
      <c r="S51" s="69"/>
    </row>
    <row r="52">
      <c r="I52" s="31"/>
      <c r="J52" s="43"/>
      <c r="K52" s="43"/>
      <c r="L52" s="43"/>
      <c r="M52" s="43"/>
      <c r="N52" s="43"/>
      <c r="O52" s="43"/>
      <c r="P52" s="43"/>
      <c r="Q52" s="43"/>
      <c r="R52" s="43"/>
      <c r="S52" s="67"/>
    </row>
    <row r="53">
      <c r="I53" s="31"/>
      <c r="J53" s="70"/>
      <c r="K53" s="70"/>
      <c r="L53" s="70"/>
      <c r="M53" s="70"/>
      <c r="N53" s="70"/>
      <c r="O53" s="70"/>
      <c r="P53" s="70"/>
      <c r="Q53" s="70"/>
      <c r="R53" s="71"/>
    </row>
  </sheetData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12.0"/>
  </cols>
  <sheetData>
    <row r="1">
      <c r="A1" s="59"/>
      <c r="B1" s="72" t="s">
        <v>95</v>
      </c>
      <c r="C1" s="72" t="s">
        <v>96</v>
      </c>
      <c r="D1" s="69"/>
      <c r="E1" s="69"/>
      <c r="F1" s="69">
        <f t="shared" ref="F1:M1" si="1">F3*F12*F13</f>
        <v>320</v>
      </c>
      <c r="G1" s="69">
        <f t="shared" si="1"/>
        <v>720</v>
      </c>
      <c r="H1" s="73">
        <f t="shared" si="1"/>
        <v>9599.04</v>
      </c>
      <c r="I1" s="69">
        <f t="shared" si="1"/>
        <v>1080</v>
      </c>
      <c r="J1" s="73">
        <f t="shared" si="1"/>
        <v>2399.76</v>
      </c>
      <c r="K1" s="73">
        <f t="shared" si="1"/>
        <v>9599.04</v>
      </c>
      <c r="L1" s="69">
        <f t="shared" si="1"/>
        <v>14400</v>
      </c>
      <c r="M1" s="69">
        <f t="shared" si="1"/>
        <v>2880</v>
      </c>
    </row>
    <row r="2">
      <c r="A2" s="74" t="s">
        <v>97</v>
      </c>
      <c r="B2" s="75" t="s">
        <v>98</v>
      </c>
      <c r="C2" s="75" t="s">
        <v>99</v>
      </c>
      <c r="D2" s="76" t="s">
        <v>100</v>
      </c>
      <c r="E2" s="76" t="s">
        <v>101</v>
      </c>
      <c r="F2" s="76" t="s">
        <v>102</v>
      </c>
      <c r="G2" s="76" t="s">
        <v>98</v>
      </c>
      <c r="H2" s="76" t="s">
        <v>103</v>
      </c>
      <c r="I2" s="76" t="s">
        <v>104</v>
      </c>
      <c r="J2" s="76" t="s">
        <v>105</v>
      </c>
      <c r="K2" s="76" t="s">
        <v>99</v>
      </c>
      <c r="L2" s="76" t="s">
        <v>106</v>
      </c>
      <c r="M2" s="76" t="s">
        <v>107</v>
      </c>
      <c r="N2" s="77"/>
      <c r="O2" s="20"/>
      <c r="P2" s="78" t="s">
        <v>108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>
      <c r="A3" s="74" t="s">
        <v>8</v>
      </c>
      <c r="B3" s="79">
        <f t="shared" ref="B3:B18" si="2">offset($B$2, row($B1), match($B$2,$D$2:$M$2,0)+1)</f>
        <v>10</v>
      </c>
      <c r="C3" s="80">
        <f t="shared" ref="C3:C9" si="3">offset($C$2, row($C1), match($C$2,$D$2:$M$2,0))</f>
        <v>66.66</v>
      </c>
      <c r="D3" s="81"/>
      <c r="E3" s="81"/>
      <c r="F3" s="82">
        <v>10.0</v>
      </c>
      <c r="G3" s="82">
        <f t="shared" ref="G3:G5" si="4">F3</f>
        <v>10</v>
      </c>
      <c r="H3" s="82">
        <f>K3</f>
        <v>66.66</v>
      </c>
      <c r="I3" s="82">
        <v>15.0</v>
      </c>
      <c r="J3" s="83">
        <v>33.33</v>
      </c>
      <c r="K3" s="83">
        <f t="shared" ref="K3:K4" si="5">J3*2</f>
        <v>66.66</v>
      </c>
      <c r="L3" s="83">
        <v>100.0</v>
      </c>
      <c r="M3" s="84">
        <v>20.0</v>
      </c>
      <c r="N3" s="85" t="s">
        <v>109</v>
      </c>
      <c r="P3" s="86" t="s">
        <v>110</v>
      </c>
      <c r="Q3" s="87">
        <f>5.8*10^6</f>
        <v>5800000</v>
      </c>
      <c r="R3" s="62" t="s">
        <v>111</v>
      </c>
    </row>
    <row r="4">
      <c r="A4" s="74" t="s">
        <v>12</v>
      </c>
      <c r="B4" s="79">
        <f t="shared" si="2"/>
        <v>5</v>
      </c>
      <c r="C4" s="80">
        <f t="shared" si="3"/>
        <v>22.22</v>
      </c>
      <c r="D4" s="82">
        <v>3.96</v>
      </c>
      <c r="E4" s="82">
        <v>3.96</v>
      </c>
      <c r="F4" s="82">
        <f t="shared" ref="F4:F5" si="7">F3/2</f>
        <v>5</v>
      </c>
      <c r="G4" s="82">
        <f t="shared" si="4"/>
        <v>5</v>
      </c>
      <c r="H4" s="82">
        <f>H3/3</f>
        <v>22.22</v>
      </c>
      <c r="I4" s="82">
        <f t="shared" ref="I4:I5" si="8">F4*2</f>
        <v>10</v>
      </c>
      <c r="J4" s="83">
        <f>J3/3</f>
        <v>11.11</v>
      </c>
      <c r="K4" s="83">
        <f t="shared" si="5"/>
        <v>22.22</v>
      </c>
      <c r="L4" s="83">
        <f t="shared" ref="L4:M4" si="6">L3/2</f>
        <v>50</v>
      </c>
      <c r="M4" s="84">
        <f t="shared" si="6"/>
        <v>10</v>
      </c>
      <c r="N4" s="85" t="s">
        <v>109</v>
      </c>
      <c r="P4" s="88" t="s">
        <v>112</v>
      </c>
      <c r="Q4" s="89">
        <v>220.0</v>
      </c>
      <c r="R4" s="62" t="s">
        <v>111</v>
      </c>
    </row>
    <row r="5">
      <c r="A5" s="74" t="s">
        <v>14</v>
      </c>
      <c r="B5" s="79">
        <f t="shared" si="2"/>
        <v>2.5</v>
      </c>
      <c r="C5" s="80">
        <f t="shared" si="3"/>
        <v>11.11</v>
      </c>
      <c r="D5" s="82">
        <v>1.98</v>
      </c>
      <c r="E5" s="82">
        <v>1.98</v>
      </c>
      <c r="F5" s="82">
        <f t="shared" si="7"/>
        <v>2.5</v>
      </c>
      <c r="G5" s="82">
        <f t="shared" si="4"/>
        <v>2.5</v>
      </c>
      <c r="H5" s="82">
        <f>H4/2</f>
        <v>11.11</v>
      </c>
      <c r="I5" s="82">
        <f t="shared" si="8"/>
        <v>5</v>
      </c>
      <c r="J5" s="83">
        <f t="shared" ref="J5:M5" si="9">J4/2</f>
        <v>5.555</v>
      </c>
      <c r="K5" s="83">
        <f t="shared" si="9"/>
        <v>11.11</v>
      </c>
      <c r="L5" s="83">
        <f t="shared" si="9"/>
        <v>25</v>
      </c>
      <c r="M5" s="84">
        <f t="shared" si="9"/>
        <v>5</v>
      </c>
      <c r="N5" s="85" t="s">
        <v>109</v>
      </c>
      <c r="P5" s="90" t="s">
        <v>113</v>
      </c>
      <c r="Q5" s="91">
        <v>128.0</v>
      </c>
      <c r="R5" s="62" t="s">
        <v>111</v>
      </c>
    </row>
    <row r="6">
      <c r="A6" s="74" t="s">
        <v>114</v>
      </c>
      <c r="B6" s="79" t="str">
        <f t="shared" si="2"/>
        <v/>
      </c>
      <c r="C6" s="80" t="str">
        <f t="shared" si="3"/>
        <v/>
      </c>
      <c r="D6" s="81"/>
      <c r="E6" s="81"/>
      <c r="F6" s="81"/>
      <c r="G6" s="81"/>
      <c r="H6" s="81"/>
      <c r="I6" s="81"/>
      <c r="J6" s="84"/>
      <c r="K6" s="84"/>
      <c r="L6" s="84"/>
      <c r="M6" s="84"/>
      <c r="N6" s="85" t="s">
        <v>115</v>
      </c>
      <c r="P6" s="92" t="s">
        <v>116</v>
      </c>
      <c r="Q6" s="93">
        <f>1000/Q4</f>
        <v>4.545454545</v>
      </c>
      <c r="R6" s="43" t="s">
        <v>117</v>
      </c>
    </row>
    <row r="7">
      <c r="A7" s="74" t="s">
        <v>10</v>
      </c>
      <c r="B7" s="79">
        <f t="shared" si="2"/>
        <v>5</v>
      </c>
      <c r="C7" s="80" t="str">
        <f t="shared" si="3"/>
        <v/>
      </c>
      <c r="D7" s="82">
        <v>3.96</v>
      </c>
      <c r="E7" s="82">
        <v>3.96</v>
      </c>
      <c r="F7" s="82">
        <f>F4</f>
        <v>5</v>
      </c>
      <c r="G7" s="82">
        <f>F7</f>
        <v>5</v>
      </c>
      <c r="H7" s="82"/>
      <c r="I7" s="82">
        <f>23/I12</f>
        <v>0.3194444444</v>
      </c>
      <c r="J7" s="84"/>
      <c r="K7" s="84"/>
      <c r="L7" s="84"/>
      <c r="M7" s="84"/>
      <c r="N7" s="85" t="s">
        <v>115</v>
      </c>
      <c r="P7" s="86" t="s">
        <v>118</v>
      </c>
      <c r="Q7" s="87">
        <f>3000/(Q6*1.1)*Q5</f>
        <v>76800</v>
      </c>
      <c r="R7" s="43" t="s">
        <v>119</v>
      </c>
    </row>
    <row r="8">
      <c r="A8" s="74" t="s">
        <v>120</v>
      </c>
      <c r="B8" s="94">
        <f t="shared" si="2"/>
        <v>1.666666667</v>
      </c>
      <c r="C8" s="80">
        <f t="shared" si="3"/>
        <v>4.166666667</v>
      </c>
      <c r="D8" s="95">
        <f t="shared" ref="D8:M8" si="10">D17/(D12*D13)</f>
        <v>1.53125</v>
      </c>
      <c r="E8" s="95">
        <f t="shared" si="10"/>
        <v>1.53125</v>
      </c>
      <c r="F8" s="95">
        <f t="shared" si="10"/>
        <v>2.125</v>
      </c>
      <c r="G8" s="95">
        <f t="shared" si="10"/>
        <v>1.666666667</v>
      </c>
      <c r="H8" s="95">
        <f t="shared" si="10"/>
        <v>4.166666667</v>
      </c>
      <c r="I8" s="95">
        <f t="shared" si="10"/>
        <v>1.805555556</v>
      </c>
      <c r="J8" s="95">
        <f t="shared" si="10"/>
        <v>2.083333333</v>
      </c>
      <c r="K8" s="95">
        <f t="shared" si="10"/>
        <v>4.166666667</v>
      </c>
      <c r="L8" s="95">
        <f t="shared" si="10"/>
        <v>0.4805555556</v>
      </c>
      <c r="M8" s="95">
        <f t="shared" si="10"/>
        <v>1.111111111</v>
      </c>
      <c r="N8" s="96"/>
      <c r="P8" s="88" t="s">
        <v>121</v>
      </c>
      <c r="Q8" s="93">
        <f>1000/Q3*Q7</f>
        <v>13.24137931</v>
      </c>
      <c r="R8" s="43" t="s">
        <v>122</v>
      </c>
    </row>
    <row r="9">
      <c r="A9" s="97" t="s">
        <v>123</v>
      </c>
      <c r="B9" s="98">
        <f t="shared" si="2"/>
        <v>196608</v>
      </c>
      <c r="C9" s="80">
        <f t="shared" si="3"/>
        <v>1048576</v>
      </c>
      <c r="D9" s="99">
        <v>81920.0</v>
      </c>
      <c r="E9" s="99">
        <v>144384.0</v>
      </c>
      <c r="F9" s="99">
        <v>196608.0</v>
      </c>
      <c r="G9" s="99">
        <f>F9</f>
        <v>196608</v>
      </c>
      <c r="H9" s="99">
        <f>K9</f>
        <v>1048576</v>
      </c>
      <c r="I9" s="99">
        <f t="shared" ref="I9:J9" si="11">288*1024</f>
        <v>294912</v>
      </c>
      <c r="J9" s="99">
        <f t="shared" si="11"/>
        <v>294912</v>
      </c>
      <c r="K9" s="99">
        <f t="shared" ref="K9:L9" si="12">1024*1024</f>
        <v>1048576</v>
      </c>
      <c r="L9" s="99">
        <f t="shared" si="12"/>
        <v>1048576</v>
      </c>
      <c r="M9" s="99">
        <f>128*1024</f>
        <v>131072</v>
      </c>
      <c r="N9" s="85" t="s">
        <v>124</v>
      </c>
      <c r="P9" s="100">
        <v>8.0</v>
      </c>
      <c r="Q9" s="101">
        <f>Q8/P9</f>
        <v>1.655172414</v>
      </c>
      <c r="R9" s="43" t="s">
        <v>125</v>
      </c>
    </row>
    <row r="10">
      <c r="A10" s="97" t="s">
        <v>126</v>
      </c>
      <c r="B10" s="98">
        <f t="shared" si="2"/>
        <v>8192</v>
      </c>
      <c r="C10" s="80">
        <f>offset($C$2, row($C8), match($C$2,$D$2:$M$2,0)) * C26</f>
        <v>41984</v>
      </c>
      <c r="D10" s="99">
        <f>3.35*2^10</f>
        <v>3430.4</v>
      </c>
      <c r="E10" s="99">
        <f>4.8*2^10</f>
        <v>4915.2</v>
      </c>
      <c r="F10" s="99">
        <f t="shared" ref="F10:G10" si="13">8*2^10</f>
        <v>8192</v>
      </c>
      <c r="G10" s="99">
        <f t="shared" si="13"/>
        <v>8192</v>
      </c>
      <c r="H10" s="99">
        <f>900*2^10</f>
        <v>921600</v>
      </c>
      <c r="I10" s="99">
        <f>8*2^10</f>
        <v>8192</v>
      </c>
      <c r="J10" s="99">
        <f>13*1024</f>
        <v>13312</v>
      </c>
      <c r="K10" s="99">
        <f>41*1024</f>
        <v>41984</v>
      </c>
      <c r="L10" s="99">
        <f>32*1024</f>
        <v>32768</v>
      </c>
      <c r="M10" s="84">
        <f>2*1024</f>
        <v>2048</v>
      </c>
      <c r="N10" s="85" t="s">
        <v>127</v>
      </c>
    </row>
    <row r="11">
      <c r="A11" s="97"/>
      <c r="B11" s="98" t="str">
        <f t="shared" si="2"/>
        <v/>
      </c>
      <c r="C11" s="80" t="str">
        <f t="shared" ref="C11:C18" si="14">offset($C$2, row($C9), match($C$2,$D$2:$M$2,0))</f>
        <v/>
      </c>
      <c r="D11" s="99"/>
      <c r="E11" s="99"/>
      <c r="F11" s="99"/>
      <c r="G11" s="99"/>
      <c r="H11" s="99"/>
      <c r="I11" s="99"/>
      <c r="J11" s="11"/>
      <c r="K11" s="11"/>
      <c r="L11" s="11"/>
      <c r="M11" s="11"/>
      <c r="N11" s="96"/>
    </row>
    <row r="12">
      <c r="A12" s="74" t="s">
        <v>128</v>
      </c>
      <c r="B12" s="98">
        <f t="shared" si="2"/>
        <v>72</v>
      </c>
      <c r="C12" s="80">
        <f t="shared" si="14"/>
        <v>144</v>
      </c>
      <c r="D12" s="99">
        <v>8.0</v>
      </c>
      <c r="E12" s="99">
        <v>8.0</v>
      </c>
      <c r="F12" s="99">
        <v>8.0</v>
      </c>
      <c r="G12" s="99">
        <v>72.0</v>
      </c>
      <c r="H12" s="99">
        <f t="shared" ref="H12:H15" si="15">K12</f>
        <v>144</v>
      </c>
      <c r="I12" s="99">
        <v>72.0</v>
      </c>
      <c r="J12" s="84">
        <v>72.0</v>
      </c>
      <c r="K12" s="84">
        <v>144.0</v>
      </c>
      <c r="L12" s="84">
        <v>144.0</v>
      </c>
      <c r="M12" s="84">
        <v>8.0</v>
      </c>
      <c r="N12" s="96"/>
    </row>
    <row r="13">
      <c r="A13" s="97" t="s">
        <v>129</v>
      </c>
      <c r="B13" s="98">
        <f t="shared" si="2"/>
        <v>1</v>
      </c>
      <c r="C13" s="80">
        <f t="shared" si="14"/>
        <v>1</v>
      </c>
      <c r="D13" s="99">
        <v>4.0</v>
      </c>
      <c r="E13" s="99">
        <v>4.0</v>
      </c>
      <c r="F13" s="99">
        <v>4.0</v>
      </c>
      <c r="G13" s="99">
        <v>1.0</v>
      </c>
      <c r="H13" s="99">
        <f t="shared" si="15"/>
        <v>1</v>
      </c>
      <c r="I13" s="99">
        <v>1.0</v>
      </c>
      <c r="J13" s="84">
        <v>1.0</v>
      </c>
      <c r="K13" s="84">
        <v>1.0</v>
      </c>
      <c r="L13" s="84">
        <v>1.0</v>
      </c>
      <c r="M13" s="84">
        <v>18.0</v>
      </c>
      <c r="N13" s="96"/>
      <c r="P13" s="43" t="s">
        <v>8</v>
      </c>
    </row>
    <row r="14">
      <c r="A14" s="97" t="s">
        <v>130</v>
      </c>
      <c r="B14" s="98">
        <f t="shared" si="2"/>
        <v>900</v>
      </c>
      <c r="C14" s="80">
        <f t="shared" si="14"/>
        <v>1800</v>
      </c>
      <c r="D14" s="99">
        <v>450.0</v>
      </c>
      <c r="E14" s="99">
        <v>450.0</v>
      </c>
      <c r="F14" s="99">
        <v>900.0</v>
      </c>
      <c r="G14" s="99">
        <v>900.0</v>
      </c>
      <c r="H14" s="99">
        <f t="shared" si="15"/>
        <v>1800</v>
      </c>
      <c r="I14" s="99">
        <v>900.0</v>
      </c>
      <c r="J14" s="84">
        <f t="shared" ref="J14:J15" si="17">I14*2</f>
        <v>1800</v>
      </c>
      <c r="K14" s="84">
        <f t="shared" ref="K14:L14" si="16">J14</f>
        <v>1800</v>
      </c>
      <c r="L14" s="84">
        <f t="shared" si="16"/>
        <v>1800</v>
      </c>
      <c r="M14" s="84">
        <v>128.0</v>
      </c>
      <c r="N14" s="85" t="s">
        <v>127</v>
      </c>
      <c r="P14" s="43" t="s">
        <v>131</v>
      </c>
    </row>
    <row r="15">
      <c r="A15" s="97" t="s">
        <v>132</v>
      </c>
      <c r="B15" s="98">
        <f t="shared" si="2"/>
        <v>900</v>
      </c>
      <c r="C15" s="80">
        <f t="shared" si="14"/>
        <v>1800</v>
      </c>
      <c r="D15" s="99">
        <v>400.0</v>
      </c>
      <c r="E15" s="99">
        <v>400.0</v>
      </c>
      <c r="F15" s="99">
        <v>400.0</v>
      </c>
      <c r="G15" s="99">
        <v>900.0</v>
      </c>
      <c r="H15" s="99">
        <f t="shared" si="15"/>
        <v>1800</v>
      </c>
      <c r="I15" s="99">
        <v>900.0</v>
      </c>
      <c r="J15" s="84">
        <f t="shared" si="17"/>
        <v>1800</v>
      </c>
      <c r="K15" s="84">
        <f t="shared" ref="K15:L15" si="18">J15</f>
        <v>1800</v>
      </c>
      <c r="L15" s="84">
        <f t="shared" si="18"/>
        <v>1800</v>
      </c>
      <c r="M15" s="84">
        <v>128.0</v>
      </c>
      <c r="N15" s="85" t="s">
        <v>127</v>
      </c>
      <c r="P15" s="43" t="s">
        <v>133</v>
      </c>
    </row>
    <row r="16">
      <c r="A16" s="74" t="s">
        <v>134</v>
      </c>
      <c r="B16" s="79">
        <f t="shared" si="2"/>
        <v>0.2</v>
      </c>
      <c r="C16" s="80">
        <f t="shared" si="14"/>
        <v>0.2</v>
      </c>
      <c r="D16" s="82">
        <v>0.8</v>
      </c>
      <c r="E16" s="82">
        <v>0.8</v>
      </c>
      <c r="F16" s="82">
        <v>0.2</v>
      </c>
      <c r="G16" s="82">
        <v>0.2</v>
      </c>
      <c r="H16" s="82">
        <v>0.2</v>
      </c>
      <c r="I16" s="82">
        <v>0.2</v>
      </c>
      <c r="J16" s="82">
        <v>0.2</v>
      </c>
      <c r="K16" s="82">
        <f t="shared" ref="K16:L16" si="19">J16</f>
        <v>0.2</v>
      </c>
      <c r="L16" s="82">
        <f t="shared" si="19"/>
        <v>0.2</v>
      </c>
      <c r="M16" s="84">
        <v>0.2</v>
      </c>
      <c r="N16" s="85" t="s">
        <v>135</v>
      </c>
    </row>
    <row r="17">
      <c r="A17" s="74" t="s">
        <v>136</v>
      </c>
      <c r="B17" s="102">
        <f t="shared" si="2"/>
        <v>120</v>
      </c>
      <c r="C17" s="80">
        <f t="shared" si="14"/>
        <v>600</v>
      </c>
      <c r="D17" s="84">
        <f>'TCO model'!C17</f>
        <v>49</v>
      </c>
      <c r="E17" s="84">
        <f>'TCO model'!D17</f>
        <v>49</v>
      </c>
      <c r="F17" s="84">
        <f>'TCO model'!E17</f>
        <v>68</v>
      </c>
      <c r="G17" s="84">
        <f>'TCO model'!F17</f>
        <v>120</v>
      </c>
      <c r="H17" s="99">
        <f t="shared" ref="H17:H18" si="20">K17</f>
        <v>600</v>
      </c>
      <c r="I17" s="84">
        <f>'TCO model'!G17</f>
        <v>130</v>
      </c>
      <c r="J17" s="84">
        <f>'TCO model'!H17</f>
        <v>150</v>
      </c>
      <c r="K17" s="84">
        <f>'TCO model'!I17</f>
        <v>600</v>
      </c>
      <c r="L17" s="84">
        <f>'TCO model'!J17</f>
        <v>69.2</v>
      </c>
      <c r="M17" s="84">
        <v>160.0</v>
      </c>
      <c r="N17" s="11"/>
    </row>
    <row r="18">
      <c r="A18" s="74" t="s">
        <v>137</v>
      </c>
      <c r="B18" s="103">
        <f t="shared" si="2"/>
        <v>0.04014971263</v>
      </c>
      <c r="C18" s="103">
        <f t="shared" si="14"/>
        <v>0.174273346</v>
      </c>
      <c r="D18" s="104">
        <f>'TCO model'!C21</f>
        <v>0.01951854162</v>
      </c>
      <c r="E18" s="104">
        <f>'TCO model'!D21</f>
        <v>0.0205775503</v>
      </c>
      <c r="F18" s="104">
        <f>'TCO model'!E21</f>
        <v>0.02656393509</v>
      </c>
      <c r="G18" s="104">
        <f>'TCO model'!$F$21</f>
        <v>0.04014971263</v>
      </c>
      <c r="H18" s="104">
        <f t="shared" si="20"/>
        <v>0.174273346</v>
      </c>
      <c r="I18" s="104">
        <f>'TCO model'!$G$21</f>
        <v>0.04614304373</v>
      </c>
      <c r="J18" s="104">
        <f>'TCO model'!$H$21</f>
        <v>0.06342474937</v>
      </c>
      <c r="K18" s="104">
        <f>'TCO model'!$I$21</f>
        <v>0.174273346</v>
      </c>
      <c r="L18" s="104">
        <f>K18</f>
        <v>0.174273346</v>
      </c>
      <c r="M18" s="105">
        <f>G18</f>
        <v>0.04014971263</v>
      </c>
      <c r="N18" s="11"/>
    </row>
    <row r="19">
      <c r="A19" s="97"/>
      <c r="B19" s="106"/>
      <c r="C19" s="80"/>
      <c r="D19" s="97"/>
      <c r="E19" s="97"/>
      <c r="F19" s="97"/>
      <c r="G19" s="97"/>
      <c r="H19" s="97"/>
      <c r="I19" s="97"/>
      <c r="J19" s="97"/>
      <c r="K19" s="97"/>
      <c r="L19" s="11"/>
      <c r="M19" s="11"/>
      <c r="N19" s="97"/>
    </row>
    <row r="20">
      <c r="A20" s="97" t="s">
        <v>138</v>
      </c>
      <c r="B20" s="107">
        <v>0.1</v>
      </c>
      <c r="C20" s="107">
        <v>0.2</v>
      </c>
      <c r="D20" s="74"/>
      <c r="E20" s="97"/>
      <c r="F20" s="97"/>
      <c r="G20" s="97"/>
      <c r="H20" s="97"/>
      <c r="I20" s="97"/>
      <c r="J20" s="97"/>
      <c r="K20" s="97"/>
      <c r="L20" s="11"/>
      <c r="M20" s="11"/>
      <c r="N20" s="97"/>
    </row>
    <row r="21">
      <c r="B21" s="108"/>
      <c r="C21" s="108"/>
      <c r="L21" s="16"/>
      <c r="M21" s="16"/>
    </row>
    <row r="22">
      <c r="A22" s="1" t="s">
        <v>139</v>
      </c>
      <c r="B22" s="109"/>
      <c r="C22" s="109"/>
      <c r="D22" s="16"/>
      <c r="H22" s="57"/>
      <c r="L22" s="16"/>
    </row>
    <row r="23">
      <c r="A23" s="110" t="s">
        <v>140</v>
      </c>
      <c r="B23" s="111">
        <v>8000.0</v>
      </c>
      <c r="C23" s="111">
        <v>1000.0</v>
      </c>
      <c r="D23" s="112"/>
      <c r="F23" s="15"/>
      <c r="M23" s="14"/>
    </row>
    <row r="24">
      <c r="A24" s="110" t="s">
        <v>141</v>
      </c>
      <c r="B24" s="111">
        <v>1024.0</v>
      </c>
      <c r="C24" s="111">
        <v>1024.0</v>
      </c>
      <c r="D24" s="112"/>
      <c r="J24" s="113"/>
      <c r="M24" s="14"/>
    </row>
    <row r="25">
      <c r="A25" s="114" t="s">
        <v>142</v>
      </c>
      <c r="B25" s="115"/>
      <c r="C25" s="115">
        <f>1 + Model!B8/(Model!B8+Model!B7) * (1-E25)</f>
        <v>1.444444444</v>
      </c>
      <c r="D25" s="116"/>
      <c r="E25" s="3">
        <f>2^floor(log(70 / ((Model!$B$8+Model!$B$7)*vlookup($C$42, Model!$F$1:Model!$J$5, 5, 0)/8/1024), 2),1) / 128</f>
        <v>0.5</v>
      </c>
      <c r="F25" s="43" t="s">
        <v>143</v>
      </c>
    </row>
    <row r="26">
      <c r="A26" s="114" t="s">
        <v>144</v>
      </c>
      <c r="B26" s="117">
        <f t="shared" ref="B26:C26" si="21">0.5 + 0.5 * min((B23*B24/1000)/128, 1)</f>
        <v>1</v>
      </c>
      <c r="C26" s="117">
        <f t="shared" si="21"/>
        <v>1</v>
      </c>
      <c r="D26" s="112"/>
      <c r="F26" s="4"/>
      <c r="G26" s="4"/>
    </row>
    <row r="27">
      <c r="A27" s="110"/>
      <c r="B27" s="42"/>
      <c r="C27" s="118"/>
      <c r="D27" s="112"/>
    </row>
    <row r="28">
      <c r="A28" s="114" t="s">
        <v>145</v>
      </c>
      <c r="B28" s="119">
        <v>1.5</v>
      </c>
      <c r="C28" s="120" t="s">
        <v>135</v>
      </c>
      <c r="D28" s="121"/>
      <c r="E28" s="59"/>
      <c r="F28" s="59"/>
      <c r="G28" s="122"/>
    </row>
    <row r="29">
      <c r="A29" s="114" t="s">
        <v>146</v>
      </c>
      <c r="B29" s="123">
        <v>0.67</v>
      </c>
      <c r="C29" s="118"/>
      <c r="D29" s="124"/>
      <c r="E29" s="4" t="b">
        <f>sum(D34:D59) = sum(Model!D24:D50)</f>
        <v>1</v>
      </c>
      <c r="F29" s="21"/>
      <c r="G29" s="21"/>
      <c r="H29" s="21"/>
      <c r="I29" s="21"/>
      <c r="J29" s="54"/>
      <c r="K29" s="54"/>
    </row>
    <row r="30">
      <c r="A30" s="120" t="s">
        <v>147</v>
      </c>
      <c r="B30" s="119" t="s">
        <v>131</v>
      </c>
      <c r="C30" s="125" t="s">
        <v>148</v>
      </c>
      <c r="D30" s="126"/>
      <c r="E30" s="21"/>
      <c r="F30" s="127"/>
      <c r="G30" s="127"/>
      <c r="H30" s="54"/>
      <c r="I30" s="54"/>
      <c r="J30" s="54"/>
      <c r="K30" s="54"/>
    </row>
    <row r="31">
      <c r="A31" s="20"/>
      <c r="B31" s="20"/>
      <c r="C31" s="20"/>
      <c r="D31" s="21"/>
      <c r="E31" s="21"/>
      <c r="F31" s="127"/>
      <c r="G31" s="127"/>
      <c r="H31" s="54"/>
      <c r="I31" s="54"/>
      <c r="J31" s="54"/>
      <c r="K31" s="54"/>
    </row>
    <row r="32">
      <c r="A32" s="20"/>
      <c r="B32" s="20"/>
      <c r="C32" s="20"/>
      <c r="D32" s="21"/>
      <c r="E32" s="128" t="str">
        <f>"IN seq_len=" &amp; B23 &amp; ", batch_size=" &amp; B24</f>
        <v>IN seq_len=8000, batch_size=1024</v>
      </c>
      <c r="F32" s="129"/>
      <c r="G32" s="129"/>
      <c r="H32" s="129"/>
      <c r="I32" s="130"/>
      <c r="J32" s="128" t="str">
        <f>"OUT seq_len=" &amp; C23 &amp; ", batch_size=" &amp; C24</f>
        <v>OUT seq_len=1000, batch_size=1024</v>
      </c>
      <c r="K32" s="129"/>
      <c r="L32" s="129"/>
      <c r="M32" s="129"/>
      <c r="N32" s="130"/>
    </row>
    <row r="33">
      <c r="A33" s="131"/>
      <c r="B33" s="132"/>
      <c r="C33" s="133" t="s">
        <v>30</v>
      </c>
      <c r="D33" s="134" t="s">
        <v>31</v>
      </c>
      <c r="E33" s="135" t="s">
        <v>149</v>
      </c>
      <c r="F33" s="135" t="s">
        <v>32</v>
      </c>
      <c r="G33" s="135" t="s">
        <v>33</v>
      </c>
      <c r="H33" s="135" t="s">
        <v>34</v>
      </c>
      <c r="I33" s="135" t="s">
        <v>35</v>
      </c>
      <c r="J33" s="136"/>
      <c r="K33" s="135" t="s">
        <v>32</v>
      </c>
      <c r="L33" s="135" t="s">
        <v>33</v>
      </c>
      <c r="M33" s="135" t="s">
        <v>34</v>
      </c>
      <c r="N33" s="137" t="s">
        <v>35</v>
      </c>
      <c r="O33" s="138"/>
    </row>
    <row r="34">
      <c r="A34" s="139" t="s">
        <v>36</v>
      </c>
      <c r="B34" s="114" t="s">
        <v>37</v>
      </c>
      <c r="C34" s="2" t="str">
        <f t="shared" ref="C34:C35" si="22">if($B$30="Blog", "bf16", if($B$30="fp4/fp8", "fp8", "fp4"))</f>
        <v>fp8</v>
      </c>
      <c r="D34" s="140">
        <f>Model!B2*Model!B3</f>
        <v>926679040</v>
      </c>
      <c r="E34" s="141">
        <f t="shared" ref="E34:E59" si="23">vlookup(C34, $A$3:$B$7, 2, 0)</f>
        <v>5</v>
      </c>
      <c r="F34" s="36">
        <f>Model!$B$3*$B$24</f>
        <v>7340032</v>
      </c>
      <c r="G34" s="36">
        <f>Model!$B$3*$B$24</f>
        <v>7340032</v>
      </c>
      <c r="H34" s="142">
        <f>vlookup($C34, Model!$F$1:Model!$J$5, 5, 0)*D34/8/2^20</f>
        <v>883.75</v>
      </c>
      <c r="I34" s="142">
        <f>vlookup($C34, Model!$F$1:Model!$J$5, 5, 0)*G34/8/2^20</f>
        <v>7</v>
      </c>
      <c r="J34" s="143">
        <f t="shared" ref="J34:J59" si="24">vlookup(C34, $A$3:$C$7, 3, 0)</f>
        <v>22.22</v>
      </c>
      <c r="K34" s="36">
        <f>Model!$B$3*$C$24</f>
        <v>7340032</v>
      </c>
      <c r="L34" s="36">
        <f>Model!$B$3*$C$24</f>
        <v>7340032</v>
      </c>
      <c r="M34" s="142">
        <f>vlookup($C34, Model!$F$1:Model!$J$5, 5, 0)*$D34/8/2^20</f>
        <v>883.75</v>
      </c>
      <c r="N34" s="144">
        <f>vlookup($C34, Model!$F$1:Model!$J$5, 5, 0)*L34/8/2^20</f>
        <v>7</v>
      </c>
      <c r="O34" s="145"/>
    </row>
    <row r="35">
      <c r="A35" s="139" t="s">
        <v>36</v>
      </c>
      <c r="B35" s="114" t="s">
        <v>38</v>
      </c>
      <c r="C35" s="2" t="str">
        <f t="shared" si="22"/>
        <v>fp8</v>
      </c>
      <c r="D35" s="146"/>
      <c r="E35" s="141">
        <f t="shared" si="23"/>
        <v>5</v>
      </c>
      <c r="F35" s="147">
        <f>2*Model!$B$3*$B$24</f>
        <v>14680064</v>
      </c>
      <c r="G35" s="36">
        <f>Model!$B$3*$B$24</f>
        <v>7340032</v>
      </c>
      <c r="H35" s="142">
        <f>vlookup($C35, Model!$F$1:Model!$J$5, 5, 0)*D35/8/2^20</f>
        <v>0</v>
      </c>
      <c r="I35" s="142">
        <f>vlookup($C35, Model!$F$1:Model!$J$5, 5, 0)*G35/8/2^20</f>
        <v>7</v>
      </c>
      <c r="J35" s="143">
        <f t="shared" si="24"/>
        <v>22.22</v>
      </c>
      <c r="K35" s="147">
        <f>2*Model!$B$3*$C$24</f>
        <v>14680064</v>
      </c>
      <c r="L35" s="36">
        <f>Model!$B$3*$C$24</f>
        <v>7340032</v>
      </c>
      <c r="M35" s="142">
        <f>vlookup($C35, Model!$F$1:Model!$J$5, 5, 0)*$D35/8/2^20</f>
        <v>0</v>
      </c>
      <c r="N35" s="144">
        <f>vlookup($C35, Model!$F$1:Model!$J$5, 5, 0)*L35/8/2^20</f>
        <v>7</v>
      </c>
      <c r="O35" s="145"/>
    </row>
    <row r="36">
      <c r="A36" s="139" t="s">
        <v>39</v>
      </c>
      <c r="B36" s="114" t="s">
        <v>40</v>
      </c>
      <c r="C36" s="2" t="s">
        <v>14</v>
      </c>
      <c r="D36" s="148"/>
      <c r="E36" s="141">
        <f t="shared" si="23"/>
        <v>2.5</v>
      </c>
      <c r="F36" s="147">
        <f>3*(Model!$B$3+1)*$B$24</f>
        <v>22023168</v>
      </c>
      <c r="G36" s="147">
        <f>G35</f>
        <v>7340032</v>
      </c>
      <c r="H36" s="142">
        <f>vlookup($C36, Model!$F$1:Model!$J$5, 5, 0)*D36/8/2^20</f>
        <v>0</v>
      </c>
      <c r="I36" s="142">
        <f>vlookup($C36, Model!$F$1:Model!$J$5, 5, 0)*G36/8/2^20</f>
        <v>14</v>
      </c>
      <c r="J36" s="143">
        <f t="shared" si="24"/>
        <v>11.11</v>
      </c>
      <c r="K36" s="147">
        <f>3*(Model!$B$3+1)*$C$24</f>
        <v>22023168</v>
      </c>
      <c r="L36" s="147">
        <f>L35</f>
        <v>7340032</v>
      </c>
      <c r="M36" s="142">
        <f>vlookup($C36, Model!$F$1:Model!$J$5, 5, 0)*$D36/8/2^20</f>
        <v>0</v>
      </c>
      <c r="N36" s="144">
        <f>vlookup($C36, Model!$F$1:Model!$J$5, 5, 0)*L36/8/2^20</f>
        <v>14</v>
      </c>
      <c r="O36" s="145"/>
      <c r="V36" s="57"/>
      <c r="W36" s="149"/>
    </row>
    <row r="37">
      <c r="A37" s="139" t="s">
        <v>39</v>
      </c>
      <c r="B37" s="114" t="s">
        <v>41</v>
      </c>
      <c r="C37" s="2" t="str">
        <f>if($B$30="Blog", "bf16", if($B$30="fp4/fp8", "fp8", "fp4"))</f>
        <v>fp8</v>
      </c>
      <c r="D37" s="140">
        <f>Model!B3*Model!B4</f>
        <v>11010048</v>
      </c>
      <c r="E37" s="141">
        <f t="shared" si="23"/>
        <v>5</v>
      </c>
      <c r="F37" s="147">
        <f>$D$37*2*$B$24</f>
        <v>22548578304</v>
      </c>
      <c r="G37" s="147">
        <f>Model!$B$4*$B$24</f>
        <v>1572864</v>
      </c>
      <c r="H37" s="142">
        <f>vlookup($C37, Model!$F$1:Model!$J$5, 5, 0)*D37/8/2^20</f>
        <v>10.5</v>
      </c>
      <c r="I37" s="142">
        <f>vlookup($C37, Model!$F$1:Model!$J$5, 5, 0)*G37/8/2^20</f>
        <v>1.5</v>
      </c>
      <c r="J37" s="143">
        <f t="shared" si="24"/>
        <v>22.22</v>
      </c>
      <c r="K37" s="147">
        <f>$D$37*2*$C$24</f>
        <v>22548578304</v>
      </c>
      <c r="L37" s="147">
        <f>Model!$B$4*$C$24</f>
        <v>1572864</v>
      </c>
      <c r="M37" s="142">
        <f>vlookup($C37, Model!$F$1:Model!$J$5, 5, 0)*$D37/8/2^20</f>
        <v>10.5</v>
      </c>
      <c r="N37" s="144">
        <f>vlookup($C37, Model!$F$1:Model!$J$5, 5, 0)*L37/8/2^20</f>
        <v>1.5</v>
      </c>
      <c r="O37" s="145"/>
      <c r="V37" s="57"/>
      <c r="W37" s="149"/>
    </row>
    <row r="38">
      <c r="A38" s="139" t="s">
        <v>39</v>
      </c>
      <c r="B38" s="114" t="s">
        <v>42</v>
      </c>
      <c r="C38" s="2" t="s">
        <v>14</v>
      </c>
      <c r="D38" s="140">
        <v>0.0</v>
      </c>
      <c r="E38" s="141">
        <f t="shared" si="23"/>
        <v>2.5</v>
      </c>
      <c r="F38" s="147">
        <f>3*(Model!$B$4+1)*$B$24</f>
        <v>4721664</v>
      </c>
      <c r="G38" s="147">
        <f>Model!$B$4*$B$24</f>
        <v>1572864</v>
      </c>
      <c r="H38" s="142">
        <f>vlookup($C38, Model!$F$1:Model!$J$5, 5, 0)*D38/8/2^20</f>
        <v>0</v>
      </c>
      <c r="I38" s="142">
        <f>vlookup($C38, Model!$F$1:Model!$J$5, 5, 0)*G38/8/2^20</f>
        <v>3</v>
      </c>
      <c r="J38" s="143">
        <f t="shared" si="24"/>
        <v>11.11</v>
      </c>
      <c r="K38" s="147">
        <f>3*(Model!$B$4+1)*$C$24</f>
        <v>4721664</v>
      </c>
      <c r="L38" s="147">
        <f>Model!$B$4*$C$24</f>
        <v>1572864</v>
      </c>
      <c r="M38" s="142">
        <f>vlookup($C38, Model!$F$1:Model!$J$5, 5, 0)*$D38/8/2^20</f>
        <v>0</v>
      </c>
      <c r="N38" s="144">
        <f>vlookup($C38, Model!$F$1:Model!$J$5, 5, 0)*L38/8/2^20</f>
        <v>3</v>
      </c>
      <c r="O38" s="145"/>
      <c r="V38" s="57"/>
      <c r="W38" s="149"/>
    </row>
    <row r="39">
      <c r="A39" s="139" t="s">
        <v>39</v>
      </c>
      <c r="B39" s="114" t="s">
        <v>43</v>
      </c>
      <c r="C39" s="2" t="str">
        <f t="shared" ref="C39:C40" si="25">if($B$30="Blog", "bf16", if($B$30="fp4/fp8", "fp8", "fp4"))</f>
        <v>fp8</v>
      </c>
      <c r="D39" s="140">
        <f>Model!B4*Model!B5*Model!B6</f>
        <v>37748736</v>
      </c>
      <c r="E39" s="141">
        <f t="shared" si="23"/>
        <v>5</v>
      </c>
      <c r="F39" s="147">
        <f>$D$39*2*$B$24</f>
        <v>77309411328</v>
      </c>
      <c r="G39" s="147">
        <f>Model!$B$5*Model!$B$6*$B$24</f>
        <v>25165824</v>
      </c>
      <c r="H39" s="142">
        <f>vlookup($C39, Model!$F$1:Model!$J$5, 5, 0)*D39/8/2^20</f>
        <v>36</v>
      </c>
      <c r="I39" s="142">
        <f>vlookup($C39, Model!$F$1:Model!$J$5, 5, 0)*G39/8/2^20</f>
        <v>24</v>
      </c>
      <c r="J39" s="143">
        <f t="shared" si="24"/>
        <v>22.22</v>
      </c>
      <c r="K39" s="147">
        <f>$D$39*2*$C$24</f>
        <v>77309411328</v>
      </c>
      <c r="L39" s="147">
        <f>Model!$B$5*Model!$B$6*$C$24</f>
        <v>25165824</v>
      </c>
      <c r="M39" s="142">
        <f>vlookup($C39, Model!$F$1:Model!$J$5, 5, 0)*$D39/8/2^20</f>
        <v>36</v>
      </c>
      <c r="N39" s="144">
        <f>vlookup($C39, Model!$F$1:Model!$J$5, 5, 0)*L39/8/2^20</f>
        <v>24</v>
      </c>
      <c r="O39" s="145"/>
      <c r="V39" s="57"/>
    </row>
    <row r="40">
      <c r="A40" s="139" t="s">
        <v>39</v>
      </c>
      <c r="B40" s="114" t="s">
        <v>44</v>
      </c>
      <c r="C40" s="2" t="str">
        <f t="shared" si="25"/>
        <v>fp8</v>
      </c>
      <c r="D40" s="140">
        <f>Model!B3*(Model!B7+Model!B8)</f>
        <v>4128768</v>
      </c>
      <c r="E40" s="141">
        <f t="shared" si="23"/>
        <v>5</v>
      </c>
      <c r="F40" s="147">
        <f>$D$40*2*$B$24</f>
        <v>8455716864</v>
      </c>
      <c r="G40" s="147">
        <f>(Model!$B$7+Model!$B$8)*$B$24</f>
        <v>589824</v>
      </c>
      <c r="H40" s="142">
        <f>vlookup($C40, Model!$F$1:Model!$J$5, 5, 0)*D40/8/2^20</f>
        <v>3.9375</v>
      </c>
      <c r="I40" s="142">
        <f>vlookup($C40, Model!$F$1:Model!$J$5, 5, 0)*G40/8/2^20</f>
        <v>0.5625</v>
      </c>
      <c r="J40" s="143">
        <f t="shared" si="24"/>
        <v>22.22</v>
      </c>
      <c r="K40" s="147">
        <f>$D$40*2*$C$24</f>
        <v>8455716864</v>
      </c>
      <c r="L40" s="147">
        <f>(Model!$B$7+Model!$B$8)*$C$24</f>
        <v>589824</v>
      </c>
      <c r="M40" s="142">
        <f>vlookup($C40, Model!$F$1:Model!$J$5, 5, 0)*$D40/8/2^20</f>
        <v>3.9375</v>
      </c>
      <c r="N40" s="144">
        <f>vlookup($C40, Model!$F$1:Model!$J$5, 5, 0)*L40/8/2^20</f>
        <v>0.5625</v>
      </c>
      <c r="O40" s="145"/>
      <c r="V40" s="57"/>
    </row>
    <row r="41">
      <c r="A41" s="139" t="s">
        <v>39</v>
      </c>
      <c r="B41" s="114" t="s">
        <v>45</v>
      </c>
      <c r="C41" s="2" t="s">
        <v>14</v>
      </c>
      <c r="D41" s="140"/>
      <c r="E41" s="141">
        <f t="shared" si="23"/>
        <v>2.5</v>
      </c>
      <c r="F41" s="147">
        <f>3*((Model!$B$7+Model!$B$8)+1)*$B$24</f>
        <v>1772544</v>
      </c>
      <c r="G41" s="147">
        <f>(Model!$B$7+Model!$B$8)*$B$24</f>
        <v>589824</v>
      </c>
      <c r="H41" s="142">
        <f>vlookup($C41, Model!$F$1:Model!$J$5, 5, 0)*D41/8/2^20</f>
        <v>0</v>
      </c>
      <c r="I41" s="142">
        <f>vlookup($C41, Model!$F$1:Model!$J$5, 5, 0)*G41/8/2^20</f>
        <v>1.125</v>
      </c>
      <c r="J41" s="143">
        <f t="shared" si="24"/>
        <v>11.11</v>
      </c>
      <c r="K41" s="147">
        <f>3*((Model!$B$7+Model!$B$8)+1)*$C$24</f>
        <v>1772544</v>
      </c>
      <c r="L41" s="147">
        <f>(Model!$B$7+Model!$B$8)*$C$24</f>
        <v>589824</v>
      </c>
      <c r="M41" s="142">
        <f>vlookup($C41, Model!$F$1:Model!$J$5, 5, 0)*$D41/8/2^20</f>
        <v>0</v>
      </c>
      <c r="N41" s="144">
        <f>vlookup($C41, Model!$F$1:Model!$J$5, 5, 0)*L41/8/2^20</f>
        <v>1.125</v>
      </c>
      <c r="O41" s="145"/>
    </row>
    <row r="42">
      <c r="A42" s="139" t="s">
        <v>39</v>
      </c>
      <c r="B42" s="114" t="s">
        <v>150</v>
      </c>
      <c r="C42" s="2" t="str">
        <f t="shared" ref="C42:C44" si="26">if($B$30="Blog", "bf16", if($B$30="fp4/fp8", "fp8", "fp4"))</f>
        <v>fp8</v>
      </c>
      <c r="D42" s="146"/>
      <c r="E42" s="141">
        <f t="shared" si="23"/>
        <v>5</v>
      </c>
      <c r="F42" s="44"/>
      <c r="G42" s="36">
        <f>$B$23*(Model!$B$8+Model!$B$7)*$B$24</f>
        <v>4718592000</v>
      </c>
      <c r="H42" s="142">
        <f>vlookup($C42, Model!$F$1:Model!$J$5, 5, 0)*D42/8/2^20</f>
        <v>0</v>
      </c>
      <c r="I42" s="142">
        <f>vlookup($C42, Model!$F$1:Model!$J$5, 5, 0)*G42/8/2^20</f>
        <v>4500</v>
      </c>
      <c r="J42" s="143">
        <f t="shared" si="24"/>
        <v>22.22</v>
      </c>
      <c r="K42" s="44"/>
      <c r="L42" s="36">
        <f>($B$23+$C$23)*(Model!$B$8+Model!$B$7)*$C$24</f>
        <v>5308416000</v>
      </c>
      <c r="M42" s="142">
        <f>vlookup($C42, Model!$F$1:Model!$J$5, 5, 0)*$D42/8/2^20</f>
        <v>0</v>
      </c>
      <c r="N42" s="144">
        <f>vlookup($C42, Model!$F$1:Model!$J$5, 5, 0)*L42/8/2^20</f>
        <v>5062.5</v>
      </c>
      <c r="O42" s="145"/>
    </row>
    <row r="43">
      <c r="A43" s="139" t="s">
        <v>39</v>
      </c>
      <c r="B43" s="114" t="s">
        <v>48</v>
      </c>
      <c r="C43" s="2" t="str">
        <f t="shared" si="26"/>
        <v>fp8</v>
      </c>
      <c r="D43" s="140">
        <f>Model!B8*Model!B5*(Model!B6+Model!B9-Model!B7)</f>
        <v>16777216</v>
      </c>
      <c r="E43" s="141">
        <f t="shared" si="23"/>
        <v>5</v>
      </c>
      <c r="F43" s="147">
        <f>$D$43*2*$B$24</f>
        <v>34359738368</v>
      </c>
      <c r="G43" s="36">
        <f>Model!$B$5*(Model!$B$6+Model!$B$9-Model!$B$7)*$B$24</f>
        <v>33554432</v>
      </c>
      <c r="H43" s="142">
        <f>vlookup($C43, Model!$F$1:Model!$J$5, 5, 0)*D43/8/2^20</f>
        <v>16</v>
      </c>
      <c r="I43" s="142">
        <f>vlookup($C43, Model!$F$1:Model!$J$5, 5, 0)*G43/8/2^20</f>
        <v>32</v>
      </c>
      <c r="J43" s="143">
        <f t="shared" si="24"/>
        <v>22.22</v>
      </c>
      <c r="K43" s="147">
        <f>$D$43*2*$C$24</f>
        <v>34359738368</v>
      </c>
      <c r="L43" s="36">
        <f>Model!$B$5*(Model!$B$6+Model!$B$9-Model!$B$7)*$C$24</f>
        <v>33554432</v>
      </c>
      <c r="M43" s="142">
        <f>vlookup($C43, Model!$F$1:Model!$J$5, 5, 0)*$D43/8/2^20</f>
        <v>16</v>
      </c>
      <c r="N43" s="144">
        <f>vlookup($C43, Model!$F$1:Model!$J$5, 5, 0)*L43/8/2^20</f>
        <v>32</v>
      </c>
      <c r="O43" s="145"/>
    </row>
    <row r="44">
      <c r="A44" s="139" t="s">
        <v>39</v>
      </c>
      <c r="B44" s="114" t="s">
        <v>49</v>
      </c>
      <c r="C44" s="2" t="str">
        <f t="shared" si="26"/>
        <v>fp8</v>
      </c>
      <c r="D44" s="148"/>
      <c r="E44" s="141">
        <f t="shared" si="23"/>
        <v>5</v>
      </c>
      <c r="F44" s="147">
        <f>Model!$B$5*$B$23*(Model!$B$8+Model!$B$7)*$B$24*2</f>
        <v>1207959552000</v>
      </c>
      <c r="G44" s="36">
        <f>$B$23*Model!$B$5*$B$24</f>
        <v>1048576000</v>
      </c>
      <c r="H44" s="142">
        <f>vlookup($C44, Model!$F$1:Model!$J$5, 5, 0)*D44/8/2^20</f>
        <v>0</v>
      </c>
      <c r="I44" s="142">
        <f>vlookup($C44, Model!$F$1:Model!$J$5, 5, 0)*G44/8/2^20</f>
        <v>1000</v>
      </c>
      <c r="J44" s="143">
        <f t="shared" si="24"/>
        <v>22.22</v>
      </c>
      <c r="K44" s="147">
        <f>Model!$B$5*($B$23+$C$23)*(Model!$B$8+Model!$B$7)*$C$24*2</f>
        <v>1358954496000</v>
      </c>
      <c r="L44" s="36">
        <f>($B$23+$C$23)*Model!$B$5*$C$24</f>
        <v>1179648000</v>
      </c>
      <c r="M44" s="142">
        <f>vlookup($C44, Model!$F$1:Model!$J$5, 5, 0)*$D44/8/2^20</f>
        <v>0</v>
      </c>
      <c r="N44" s="144">
        <f>vlookup($C44, Model!$F$1:Model!$J$5, 5, 0)*L44/8/2^20</f>
        <v>1125</v>
      </c>
      <c r="O44" s="145"/>
    </row>
    <row r="45">
      <c r="A45" s="139" t="s">
        <v>39</v>
      </c>
      <c r="B45" s="114" t="s">
        <v>50</v>
      </c>
      <c r="C45" s="2" t="s">
        <v>14</v>
      </c>
      <c r="D45" s="148"/>
      <c r="E45" s="141">
        <f t="shared" si="23"/>
        <v>2.5</v>
      </c>
      <c r="F45" s="147">
        <f>Model!$B$5*(8*$B$23+1)*$B$24</f>
        <v>8388739072</v>
      </c>
      <c r="G45" s="36">
        <f>$B$23*Model!$B$5*$B$24</f>
        <v>1048576000</v>
      </c>
      <c r="H45" s="142">
        <f>vlookup($C45, Model!$F$1:Model!$J$5, 5, 0)*D45/8/2^20</f>
        <v>0</v>
      </c>
      <c r="I45" s="142">
        <f>vlookup($C45, Model!$F$1:Model!$J$5, 5, 0)*G45/8/2^20</f>
        <v>2000</v>
      </c>
      <c r="J45" s="143">
        <f t="shared" si="24"/>
        <v>11.11</v>
      </c>
      <c r="K45" s="147">
        <f>Model!$B$5*(8*($B$23+$C$23)+1)*$C$24</f>
        <v>9437315072</v>
      </c>
      <c r="L45" s="36">
        <f>($B$23+$C$23)*Model!$B$5*$C$24</f>
        <v>1179648000</v>
      </c>
      <c r="M45" s="142">
        <f>vlookup($C45, Model!$F$1:Model!$J$5, 5, 0)*$D45/8/2^20</f>
        <v>0</v>
      </c>
      <c r="N45" s="144">
        <f>vlookup($C45, Model!$F$1:Model!$J$5, 5, 0)*L45/8/2^20</f>
        <v>2250</v>
      </c>
      <c r="O45" s="145"/>
    </row>
    <row r="46">
      <c r="A46" s="139" t="s">
        <v>39</v>
      </c>
      <c r="B46" s="114" t="s">
        <v>51</v>
      </c>
      <c r="C46" s="2" t="str">
        <f t="shared" ref="C46:C47" si="27">if($B$30="Blog", "bf16", if($B$30="fp4/fp8", "fp8", "fp4"))</f>
        <v>fp8</v>
      </c>
      <c r="D46" s="148"/>
      <c r="E46" s="141">
        <f t="shared" si="23"/>
        <v>5</v>
      </c>
      <c r="F46" s="147">
        <f>2*Model!$B$5*Model!$B$9*$B$23*$C$24</f>
        <v>268435456000</v>
      </c>
      <c r="G46" s="36">
        <f>Model!$B$5*Model!$B$9*$B$24</f>
        <v>16777216</v>
      </c>
      <c r="H46" s="142">
        <f>vlookup($C46, Model!$F$1:Model!$J$5, 5, 0)*D46/8/2^20</f>
        <v>0</v>
      </c>
      <c r="I46" s="142">
        <f>vlookup($C46, Model!$F$1:Model!$J$5, 5, 0)*G46/8/2^20</f>
        <v>16</v>
      </c>
      <c r="J46" s="143">
        <f t="shared" si="24"/>
        <v>22.22</v>
      </c>
      <c r="K46" s="147">
        <f>2*Model!$B$5*Model!$B$9*($B$23+$C$23)*$C$24</f>
        <v>301989888000</v>
      </c>
      <c r="L46" s="36">
        <f>Model!$B$5*Model!$B$9*$C$24</f>
        <v>16777216</v>
      </c>
      <c r="M46" s="142">
        <f>vlookup($C46, Model!$F$1:Model!$J$5, 5, 0)*$D46/8/2^20</f>
        <v>0</v>
      </c>
      <c r="N46" s="144">
        <f>vlookup($C46, Model!$F$1:Model!$J$5, 5, 0)*L46/8/2^20</f>
        <v>16</v>
      </c>
      <c r="O46" s="145"/>
    </row>
    <row r="47">
      <c r="A47" s="139" t="s">
        <v>39</v>
      </c>
      <c r="B47" s="114" t="s">
        <v>52</v>
      </c>
      <c r="C47" s="2" t="str">
        <f t="shared" si="27"/>
        <v>fp8</v>
      </c>
      <c r="D47" s="140">
        <f>Model!B5*Model!B9*Model!B3</f>
        <v>117440512</v>
      </c>
      <c r="E47" s="141">
        <f t="shared" si="23"/>
        <v>5</v>
      </c>
      <c r="F47" s="147">
        <f>$D$47*2*$B$24</f>
        <v>240518168576</v>
      </c>
      <c r="G47" s="147">
        <f>Model!$B$3*$B$24</f>
        <v>7340032</v>
      </c>
      <c r="H47" s="142">
        <f>vlookup($C47, Model!$F$1:Model!$J$5, 5, 0)*D47/8/2^20</f>
        <v>112</v>
      </c>
      <c r="I47" s="142">
        <f>vlookup($C47, Model!$F$1:Model!$J$5, 5, 0)*G47/8/2^20</f>
        <v>7</v>
      </c>
      <c r="J47" s="143">
        <f t="shared" si="24"/>
        <v>22.22</v>
      </c>
      <c r="K47" s="147">
        <f>$D$47*2*$C$24</f>
        <v>240518168576</v>
      </c>
      <c r="L47" s="147">
        <f>Model!$B$3*$C$24</f>
        <v>7340032</v>
      </c>
      <c r="M47" s="142">
        <f>vlookup($C47, Model!$F$1:Model!$J$5, 5, 0)*$D47/8/2^20</f>
        <v>112</v>
      </c>
      <c r="N47" s="144">
        <f>vlookup($C47, Model!$F$1:Model!$J$5, 5, 0)*L47/8/2^20</f>
        <v>7</v>
      </c>
      <c r="O47" s="145"/>
    </row>
    <row r="48">
      <c r="A48" s="139" t="s">
        <v>39</v>
      </c>
      <c r="B48" s="114" t="s">
        <v>53</v>
      </c>
      <c r="C48" s="2" t="s">
        <v>14</v>
      </c>
      <c r="D48" s="148"/>
      <c r="E48" s="141">
        <f t="shared" si="23"/>
        <v>2.5</v>
      </c>
      <c r="F48" s="147">
        <f>3*(Model!$B$3+1)*$B$24</f>
        <v>22023168</v>
      </c>
      <c r="G48" s="147">
        <f>Model!$B$3*$B$24</f>
        <v>7340032</v>
      </c>
      <c r="H48" s="142">
        <f>vlookup($C48, Model!$F$1:Model!$J$5, 5, 0)*D48/8/2^20</f>
        <v>0</v>
      </c>
      <c r="I48" s="142">
        <f>vlookup($C48, Model!$F$1:Model!$J$5, 5, 0)*G48/8/2^20</f>
        <v>14</v>
      </c>
      <c r="J48" s="143">
        <f t="shared" si="24"/>
        <v>11.11</v>
      </c>
      <c r="K48" s="147">
        <f>3*(Model!$B$3+1)*$C$24</f>
        <v>22023168</v>
      </c>
      <c r="L48" s="147">
        <f>Model!$B$3*$C$24</f>
        <v>7340032</v>
      </c>
      <c r="M48" s="142">
        <f>vlookup($C48, Model!$F$1:Model!$J$5, 5, 0)*$D48/8/2^20</f>
        <v>0</v>
      </c>
      <c r="N48" s="144">
        <f>vlookup($C48, Model!$F$1:Model!$J$5, 5, 0)*L48/8/2^20</f>
        <v>14</v>
      </c>
      <c r="O48" s="145"/>
    </row>
    <row r="49">
      <c r="A49" s="139" t="s">
        <v>54</v>
      </c>
      <c r="B49" s="114" t="s">
        <v>55</v>
      </c>
      <c r="C49" s="2" t="str">
        <f t="shared" ref="C49:C52" si="28">if($B$3, $A$3, $A$4)</f>
        <v>fp4</v>
      </c>
      <c r="D49" s="140">
        <f>Model!B3*Model!B10</f>
        <v>132120576</v>
      </c>
      <c r="E49" s="141">
        <f t="shared" si="23"/>
        <v>10</v>
      </c>
      <c r="F49" s="147">
        <f>$D$49*2*$B$24</f>
        <v>270582939648</v>
      </c>
      <c r="G49" s="147">
        <f>Model!$B$10*$B$24</f>
        <v>18874368</v>
      </c>
      <c r="H49" s="142">
        <f>vlookup($C49, Model!$F$1:Model!$J$5, 5, 0)*D49/8/2^20</f>
        <v>70.875</v>
      </c>
      <c r="I49" s="142">
        <f>vlookup($C49, Model!$F$1:Model!$J$5, 5, 0)*G49/8/2^20</f>
        <v>10.125</v>
      </c>
      <c r="J49" s="143">
        <f t="shared" si="24"/>
        <v>66.66</v>
      </c>
      <c r="K49" s="147">
        <f>$D$49*2*$C$24</f>
        <v>270582939648</v>
      </c>
      <c r="L49" s="147">
        <f>Model!$B$10*$C$24</f>
        <v>18874368</v>
      </c>
      <c r="M49" s="142">
        <f>vlookup($C49, Model!$F$1:Model!$J$5, 5, 0)*$D49/8/2^20</f>
        <v>70.875</v>
      </c>
      <c r="N49" s="144">
        <f>vlookup($C49, Model!$F$1:Model!$J$5, 5, 0)*L49/8/2^20</f>
        <v>10.125</v>
      </c>
      <c r="O49" s="145"/>
    </row>
    <row r="50">
      <c r="A50" s="139" t="s">
        <v>54</v>
      </c>
      <c r="B50" s="114" t="s">
        <v>56</v>
      </c>
      <c r="C50" s="2" t="str">
        <f t="shared" si="28"/>
        <v>fp4</v>
      </c>
      <c r="D50" s="140">
        <f>D49</f>
        <v>132120576</v>
      </c>
      <c r="E50" s="141">
        <f t="shared" si="23"/>
        <v>10</v>
      </c>
      <c r="F50" s="147">
        <f>$D$50*2*$B$24</f>
        <v>270582939648</v>
      </c>
      <c r="G50" s="147">
        <f>Model!$B$10*$B$24</f>
        <v>18874368</v>
      </c>
      <c r="H50" s="142">
        <f>vlookup($C50, Model!$F$1:Model!$J$5, 5, 0)*D50/8/2^20</f>
        <v>70.875</v>
      </c>
      <c r="I50" s="142">
        <f>vlookup($C50, Model!$F$1:Model!$J$5, 5, 0)*G50/8/2^20</f>
        <v>10.125</v>
      </c>
      <c r="J50" s="143">
        <f t="shared" si="24"/>
        <v>66.66</v>
      </c>
      <c r="K50" s="147">
        <f>$D$50*2*$C$24</f>
        <v>270582939648</v>
      </c>
      <c r="L50" s="147">
        <f>Model!$B$10*$C$24</f>
        <v>18874368</v>
      </c>
      <c r="M50" s="142">
        <f>vlookup($C50, Model!$F$1:Model!$J$5, 5, 0)*$D50/8/2^20</f>
        <v>70.875</v>
      </c>
      <c r="N50" s="144">
        <f>vlookup($C50, Model!$F$1:Model!$J$5, 5, 0)*L50/8/2^20</f>
        <v>10.125</v>
      </c>
      <c r="O50" s="145"/>
    </row>
    <row r="51">
      <c r="A51" s="139" t="s">
        <v>54</v>
      </c>
      <c r="B51" s="114" t="s">
        <v>57</v>
      </c>
      <c r="C51" s="2" t="str">
        <f t="shared" si="28"/>
        <v>fp4</v>
      </c>
      <c r="D51" s="148"/>
      <c r="E51" s="141">
        <f t="shared" si="23"/>
        <v>10</v>
      </c>
      <c r="F51" s="147">
        <f>(8+1)*Model!$B$10*$B$24</f>
        <v>169869312</v>
      </c>
      <c r="G51" s="147">
        <f>Model!$B$10*$B$24</f>
        <v>18874368</v>
      </c>
      <c r="H51" s="142">
        <f>vlookup($C51, Model!$F$1:Model!$J$5, 5, 0)*D51/8/2^20</f>
        <v>0</v>
      </c>
      <c r="I51" s="142">
        <f>vlookup($C51, Model!$F$1:Model!$J$5, 5, 0)*G51/8/2^20</f>
        <v>10.125</v>
      </c>
      <c r="J51" s="143">
        <f t="shared" si="24"/>
        <v>66.66</v>
      </c>
      <c r="K51" s="147">
        <f>(8+1)*Model!$B$10*$C$24</f>
        <v>169869312</v>
      </c>
      <c r="L51" s="147">
        <f>Model!$B$10*$C$24</f>
        <v>18874368</v>
      </c>
      <c r="M51" s="142">
        <f>vlookup($C51, Model!$F$1:Model!$J$5, 5, 0)*$D51/8/2^20</f>
        <v>0</v>
      </c>
      <c r="N51" s="144">
        <f>vlookup($C51, Model!$F$1:Model!$J$5, 5, 0)*L51/8/2^20</f>
        <v>10.125</v>
      </c>
      <c r="O51" s="145"/>
    </row>
    <row r="52">
      <c r="A52" s="139" t="s">
        <v>54</v>
      </c>
      <c r="B52" s="114" t="s">
        <v>58</v>
      </c>
      <c r="C52" s="2" t="str">
        <f t="shared" si="28"/>
        <v>fp4</v>
      </c>
      <c r="D52" s="140">
        <f>D50</f>
        <v>132120576</v>
      </c>
      <c r="E52" s="141">
        <f t="shared" si="23"/>
        <v>10</v>
      </c>
      <c r="F52" s="147">
        <f>$D$52*2*$B$24</f>
        <v>270582939648</v>
      </c>
      <c r="G52" s="147">
        <f>Model!$B$3*$B$24</f>
        <v>7340032</v>
      </c>
      <c r="H52" s="142">
        <f>vlookup($C52, Model!$F$1:Model!$J$5, 5, 0)*D52/8/2^20</f>
        <v>70.875</v>
      </c>
      <c r="I52" s="142">
        <f>vlookup($C52, Model!$F$1:Model!$J$5, 5, 0)*G52/8/2^20</f>
        <v>3.9375</v>
      </c>
      <c r="J52" s="143">
        <f t="shared" si="24"/>
        <v>66.66</v>
      </c>
      <c r="K52" s="147">
        <f>$D$52*2*$C$24</f>
        <v>270582939648</v>
      </c>
      <c r="L52" s="147">
        <f>Model!$B$3*$C$24</f>
        <v>7340032</v>
      </c>
      <c r="M52" s="142">
        <f>vlookup($C52, Model!$F$1:Model!$J$5, 5, 0)*$D52/8/2^20</f>
        <v>70.875</v>
      </c>
      <c r="N52" s="144">
        <f>vlookup($C52, Model!$F$1:Model!$J$5, 5, 0)*L52/8/2^20</f>
        <v>3.9375</v>
      </c>
      <c r="O52" s="145"/>
    </row>
    <row r="53">
      <c r="A53" s="139" t="s">
        <v>59</v>
      </c>
      <c r="B53" s="114" t="s">
        <v>60</v>
      </c>
      <c r="C53" s="2" t="s">
        <v>14</v>
      </c>
      <c r="D53" s="140">
        <f>Model!B12*Model!B3</f>
        <v>1835008</v>
      </c>
      <c r="E53" s="141">
        <f t="shared" si="23"/>
        <v>2.5</v>
      </c>
      <c r="F53" s="147">
        <f>$D$53*2*$B$24</f>
        <v>3758096384</v>
      </c>
      <c r="G53" s="150">
        <f>(Model!$B$12+Model!$B$13)*$B$24</f>
        <v>263168</v>
      </c>
      <c r="H53" s="142">
        <f>vlookup($C53, Model!$F$1:Model!$J$5, 5, 0)*D53/8/2^20</f>
        <v>3.5</v>
      </c>
      <c r="I53" s="142">
        <f>vlookup($C53, Model!$F$1:Model!$J$5, 5, 0)*G53/8/2^20</f>
        <v>0.501953125</v>
      </c>
      <c r="J53" s="143">
        <f t="shared" si="24"/>
        <v>11.11</v>
      </c>
      <c r="K53" s="147">
        <f>$D$53*2*$C$24</f>
        <v>3758096384</v>
      </c>
      <c r="L53" s="150">
        <f>(Model!$B$12+Model!$B$13)*$C$24</f>
        <v>263168</v>
      </c>
      <c r="M53" s="142">
        <f>vlookup($C53, Model!$F$1:Model!$J$5, 5, 0)*$D53/8/2^20</f>
        <v>3.5</v>
      </c>
      <c r="N53" s="144">
        <f>vlookup($C53, Model!$F$1:Model!$J$5, 5, 0)*L53/8/2^20</f>
        <v>0.501953125</v>
      </c>
      <c r="O53" s="145"/>
    </row>
    <row r="54">
      <c r="A54" s="139" t="s">
        <v>61</v>
      </c>
      <c r="B54" s="114" t="s">
        <v>55</v>
      </c>
      <c r="C54" s="2" t="str">
        <f t="shared" ref="C54:C55" si="29">if($B$30="Blog", "bf16", if($B$30="Balanced", "fp8", "fp4"))</f>
        <v>fp4</v>
      </c>
      <c r="D54" s="140">
        <f>Model!B3*Model!B11</f>
        <v>14680064</v>
      </c>
      <c r="E54" s="141">
        <f t="shared" si="23"/>
        <v>10</v>
      </c>
      <c r="F54" s="147">
        <f>$D$54*2*$B$24</f>
        <v>30064771072</v>
      </c>
      <c r="G54" s="150">
        <f>Model!$B$11*$B$24</f>
        <v>2097152</v>
      </c>
      <c r="H54" s="142">
        <f>vlookup($C54, Model!$F$1:Model!$J$5, 5, 0)*D54/8/2^20</f>
        <v>7.875</v>
      </c>
      <c r="I54" s="142">
        <f>vlookup($C54, Model!$F$1:Model!$J$5, 5, 0)*G54/8/2^20</f>
        <v>1.125</v>
      </c>
      <c r="J54" s="143">
        <f t="shared" si="24"/>
        <v>66.66</v>
      </c>
      <c r="K54" s="147">
        <f>$D$54*2*$C$24</f>
        <v>30064771072</v>
      </c>
      <c r="L54" s="150">
        <f>Model!$B$11*$C$24</f>
        <v>2097152</v>
      </c>
      <c r="M54" s="142">
        <f>vlookup($C54, Model!$F$1:Model!$J$5, 5, 0)*$D54/8/2^20</f>
        <v>7.875</v>
      </c>
      <c r="N54" s="144">
        <f>vlookup($C54, Model!$F$1:Model!$J$5, 5, 0)*L54/8/2^20</f>
        <v>1.125</v>
      </c>
      <c r="O54" s="145"/>
    </row>
    <row r="55">
      <c r="A55" s="139" t="s">
        <v>61</v>
      </c>
      <c r="B55" s="114" t="s">
        <v>56</v>
      </c>
      <c r="C55" s="2" t="str">
        <f t="shared" si="29"/>
        <v>fp4</v>
      </c>
      <c r="D55" s="140">
        <f>Model!B3*Model!B11</f>
        <v>14680064</v>
      </c>
      <c r="E55" s="141">
        <f t="shared" si="23"/>
        <v>10</v>
      </c>
      <c r="F55" s="147">
        <f>$D$55*2*$B$24</f>
        <v>30064771072</v>
      </c>
      <c r="G55" s="150">
        <f>Model!$B$11*$B$24</f>
        <v>2097152</v>
      </c>
      <c r="H55" s="142">
        <f>vlookup($C55, Model!$F$1:Model!$J$5, 5, 0)*D55/8/2^20</f>
        <v>7.875</v>
      </c>
      <c r="I55" s="142">
        <f>vlookup($C55, Model!$F$1:Model!$J$5, 5, 0)*G55/8/2^20</f>
        <v>1.125</v>
      </c>
      <c r="J55" s="143">
        <f t="shared" si="24"/>
        <v>66.66</v>
      </c>
      <c r="K55" s="147">
        <f>$D$55*2*$C$24</f>
        <v>30064771072</v>
      </c>
      <c r="L55" s="150">
        <f>Model!$B$11*$C$24</f>
        <v>2097152</v>
      </c>
      <c r="M55" s="142">
        <f>vlookup($C55, Model!$F$1:Model!$J$5, 5, 0)*$D55/8/2^20</f>
        <v>7.875</v>
      </c>
      <c r="N55" s="144">
        <f>vlookup($C55, Model!$F$1:Model!$J$5, 5, 0)*L55/8/2^20</f>
        <v>1.125</v>
      </c>
      <c r="O55" s="145"/>
    </row>
    <row r="56">
      <c r="A56" s="139" t="s">
        <v>61</v>
      </c>
      <c r="B56" s="114" t="s">
        <v>57</v>
      </c>
      <c r="C56" s="2" t="s">
        <v>14</v>
      </c>
      <c r="D56" s="148"/>
      <c r="E56" s="141">
        <f t="shared" si="23"/>
        <v>2.5</v>
      </c>
      <c r="F56" s="147">
        <f>(8+1)*Model!$B$11*$B$24</f>
        <v>18874368</v>
      </c>
      <c r="G56" s="150">
        <f>Model!$B$11*$B$24</f>
        <v>2097152</v>
      </c>
      <c r="H56" s="142">
        <f>vlookup($C56, Model!$F$1:Model!$J$5, 5, 0)*D56/8/2^20</f>
        <v>0</v>
      </c>
      <c r="I56" s="142">
        <f>vlookup($C56, Model!$F$1:Model!$J$5, 5, 0)*G56/8/2^20</f>
        <v>4</v>
      </c>
      <c r="J56" s="143">
        <f t="shared" si="24"/>
        <v>11.11</v>
      </c>
      <c r="K56" s="147">
        <f>(8+1)*Model!$B$11*$C$24</f>
        <v>18874368</v>
      </c>
      <c r="L56" s="150">
        <f>Model!$B$11*$C$24</f>
        <v>2097152</v>
      </c>
      <c r="M56" s="142">
        <f>vlookup($C56, Model!$F$1:Model!$J$5, 5, 0)*$D56/8/2^20</f>
        <v>0</v>
      </c>
      <c r="N56" s="144">
        <f>vlookup($C56, Model!$F$1:Model!$J$5, 5, 0)*L56/8/2^20</f>
        <v>4</v>
      </c>
      <c r="O56" s="145"/>
    </row>
    <row r="57">
      <c r="A57" s="139" t="s">
        <v>61</v>
      </c>
      <c r="B57" s="114" t="s">
        <v>58</v>
      </c>
      <c r="C57" s="2" t="str">
        <f t="shared" ref="C57:C58" si="30">if($B$30="Blog", "bf16", if($B$30="Balanced", "fp8", "fp4"))</f>
        <v>fp4</v>
      </c>
      <c r="D57" s="140">
        <f>Model!B11*Model!B3</f>
        <v>14680064</v>
      </c>
      <c r="E57" s="141">
        <f t="shared" si="23"/>
        <v>10</v>
      </c>
      <c r="F57" s="147">
        <f>$D$57*2*$B$24</f>
        <v>30064771072</v>
      </c>
      <c r="G57" s="150">
        <f>Model!$B$3*$B$24</f>
        <v>7340032</v>
      </c>
      <c r="H57" s="142">
        <f>vlookup($C57, Model!$F$1:Model!$J$5, 5, 0)*D57/8/2^20</f>
        <v>7.875</v>
      </c>
      <c r="I57" s="142">
        <f>vlookup($C57, Model!$F$1:Model!$J$5, 5, 0)*G57/8/2^20</f>
        <v>3.9375</v>
      </c>
      <c r="J57" s="143">
        <f t="shared" si="24"/>
        <v>66.66</v>
      </c>
      <c r="K57" s="147">
        <f>$D$57*2*$C$24</f>
        <v>30064771072</v>
      </c>
      <c r="L57" s="150">
        <f>Model!$B$3*$C$24</f>
        <v>7340032</v>
      </c>
      <c r="M57" s="142">
        <f>vlookup($C57, Model!$F$1:Model!$J$5, 5, 0)*$D57/8/2^20</f>
        <v>7.875</v>
      </c>
      <c r="N57" s="144">
        <f>vlookup($C57, Model!$F$1:Model!$J$5, 5, 0)*L57/8/2^20</f>
        <v>3.9375</v>
      </c>
      <c r="O57" s="145"/>
    </row>
    <row r="58">
      <c r="A58" s="139" t="s">
        <v>36</v>
      </c>
      <c r="B58" s="114" t="s">
        <v>62</v>
      </c>
      <c r="C58" s="2" t="str">
        <f t="shared" si="30"/>
        <v>fp4</v>
      </c>
      <c r="D58" s="140">
        <f>Model!B2*Model!B3</f>
        <v>926679040</v>
      </c>
      <c r="E58" s="141">
        <f t="shared" si="23"/>
        <v>10</v>
      </c>
      <c r="F58" s="147">
        <f>$D$58*2*$B$24</f>
        <v>1897838673920</v>
      </c>
      <c r="G58" s="150">
        <f>Model!$B$2*$B$24</f>
        <v>132382720</v>
      </c>
      <c r="H58" s="142">
        <f>vlookup($C58, Model!$F$1:Model!$J$5, 5, 0)*D58/8/2^20</f>
        <v>497.109375</v>
      </c>
      <c r="I58" s="142">
        <f>vlookup($C58, Model!$F$1:Model!$J$5, 5, 0)*G58/8/2^20</f>
        <v>71.015625</v>
      </c>
      <c r="J58" s="143">
        <f t="shared" si="24"/>
        <v>66.66</v>
      </c>
      <c r="K58" s="147">
        <f>$D$58*2*$C$24</f>
        <v>1897838673920</v>
      </c>
      <c r="L58" s="150">
        <f>Model!$B$2*$C$24</f>
        <v>132382720</v>
      </c>
      <c r="M58" s="142">
        <f>vlookup($C58, Model!$F$1:Model!$J$5, 5, 0)*$D58/8/2^20</f>
        <v>497.109375</v>
      </c>
      <c r="N58" s="144">
        <f>vlookup($C58, Model!$F$1:Model!$J$5, 5, 0)*L58/8/2^20</f>
        <v>71.015625</v>
      </c>
      <c r="O58" s="145"/>
    </row>
    <row r="59">
      <c r="A59" s="151" t="s">
        <v>36</v>
      </c>
      <c r="B59" s="152" t="s">
        <v>63</v>
      </c>
      <c r="C59" s="153" t="s">
        <v>14</v>
      </c>
      <c r="D59" s="154"/>
      <c r="E59" s="155">
        <f t="shared" si="23"/>
        <v>2.5</v>
      </c>
      <c r="F59" s="156">
        <f>Model!$B$2*$B$24</f>
        <v>132382720</v>
      </c>
      <c r="G59" s="157">
        <f>Model!$B$3*$B$24</f>
        <v>7340032</v>
      </c>
      <c r="H59" s="158">
        <f>vlookup($C59, Model!$F$1:Model!$J$5, 5, 0)*D59/8/2^20</f>
        <v>0</v>
      </c>
      <c r="I59" s="158">
        <f>vlookup($C59, Model!$F$1:Model!$J$5, 5, 0)*G59/8/2^20</f>
        <v>14</v>
      </c>
      <c r="J59" s="159">
        <f t="shared" si="24"/>
        <v>11.11</v>
      </c>
      <c r="K59" s="156">
        <f>Model!$B$2*$C$24</f>
        <v>132382720</v>
      </c>
      <c r="L59" s="157">
        <f>Model!$B$3*$C$24</f>
        <v>7340032</v>
      </c>
      <c r="M59" s="158">
        <f>vlookup($C59, Model!$F$1:Model!$J$5, 5, 0)*$D59/8/2^20</f>
        <v>0</v>
      </c>
      <c r="N59" s="160">
        <f>vlookup($C59, Model!$F$1:Model!$J$5, 5, 0)*L59/8/2^20</f>
        <v>14</v>
      </c>
      <c r="O59" s="145"/>
    </row>
    <row r="60">
      <c r="A60" s="43"/>
      <c r="B60" s="43"/>
      <c r="D60" s="43"/>
      <c r="E60" s="4"/>
      <c r="F60" s="15"/>
      <c r="G60" s="15"/>
      <c r="H60" s="161"/>
      <c r="I60" s="161"/>
      <c r="J60" s="161"/>
    </row>
    <row r="61">
      <c r="A61" s="43" t="s">
        <v>151</v>
      </c>
      <c r="B61" s="43"/>
      <c r="D61" s="43"/>
      <c r="E61" s="15"/>
      <c r="F61" s="15"/>
      <c r="G61" s="15"/>
      <c r="H61" s="161"/>
      <c r="I61" s="161"/>
      <c r="J61" s="161"/>
    </row>
    <row r="62">
      <c r="A62" s="31"/>
      <c r="B62" s="31" t="s">
        <v>152</v>
      </c>
      <c r="C62" s="31" t="s">
        <v>153</v>
      </c>
      <c r="D62" s="54" t="s">
        <v>154</v>
      </c>
      <c r="E62" s="54" t="s">
        <v>155</v>
      </c>
      <c r="F62" s="54" t="s">
        <v>156</v>
      </c>
      <c r="G62" s="54" t="s">
        <v>157</v>
      </c>
      <c r="H62" s="54" t="s">
        <v>158</v>
      </c>
      <c r="I62" s="54" t="s">
        <v>159</v>
      </c>
      <c r="J62" s="54" t="s">
        <v>160</v>
      </c>
      <c r="K62" s="54" t="s">
        <v>161</v>
      </c>
      <c r="L62" s="31" t="s">
        <v>162</v>
      </c>
      <c r="M62" s="31" t="s">
        <v>163</v>
      </c>
      <c r="N62" s="31" t="s">
        <v>164</v>
      </c>
      <c r="O62" s="31" t="s">
        <v>165</v>
      </c>
      <c r="P62" s="31" t="s">
        <v>166</v>
      </c>
      <c r="Q62" s="31" t="s">
        <v>167</v>
      </c>
      <c r="R62" s="62" t="s">
        <v>168</v>
      </c>
      <c r="S62" s="31" t="s">
        <v>169</v>
      </c>
      <c r="T62" s="31" t="s">
        <v>170</v>
      </c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>
      <c r="A63" s="43" t="s">
        <v>36</v>
      </c>
      <c r="B63" s="162">
        <f t="shared" ref="B63:B68" si="31">sumif($A$34:$A$59, $A63, H$34:H$59)</f>
        <v>1380.859375</v>
      </c>
      <c r="C63" s="163">
        <f>$B63* Model!B$54</f>
        <v>1380.859375</v>
      </c>
      <c r="D63" s="163"/>
      <c r="E63" s="164"/>
      <c r="F63" s="164">
        <f t="shared" ref="F63:F68" si="32">sumproduct($A$34:$A$59=A63, $D$34:$D$59&gt;0)</f>
        <v>2</v>
      </c>
      <c r="G63" s="165">
        <v>1.0</v>
      </c>
      <c r="H63" s="165">
        <v>1.0</v>
      </c>
      <c r="I63" s="165">
        <v>1.0</v>
      </c>
      <c r="J63" s="164">
        <f t="shared" ref="J63:J68" si="33">PRODUCT(G63:I63)</f>
        <v>1</v>
      </c>
      <c r="K63" s="162">
        <f>B23 * Model!C54*sumif($A$34:$A$59, A63, $F$34:$F$59)/10^9</f>
        <v>15183944.61</v>
      </c>
      <c r="L63" s="162">
        <f t="shared" ref="L63:L68" si="34">sumproduct($A$34:$A$59=A63, $E$34:$E$59,$F$34:$F$59)/sumif($A$34:$A$59,A63,$F$34:$F$59)</f>
        <v>9.999418875</v>
      </c>
      <c r="M63" s="164">
        <f t="shared" ref="M63:M68" si="35">if(J63&lt;=1, $B$10, if(J63&lt;=$B$12, $B$14, $B$15))</f>
        <v>8192</v>
      </c>
      <c r="N63" s="163">
        <f t="shared" ref="N63:N67" si="36">K63 / (J63*L63) + (1+(1-$B$29)*(F63-1))*$B$28</f>
        <v>1518484.699</v>
      </c>
      <c r="O63" s="163">
        <f>10^6*C63/(H63*I63*$B$10*1024)</f>
        <v>164.6112651</v>
      </c>
      <c r="P63" s="163">
        <f t="shared" ref="P63:P68" si="37">10^6*(1-1/H63)*D63/(M63*H63*1024)*(1-$B$29) + 10^6*((I63-1)/I63)*E63/1024/M63 + (J63-1)*$B$16</f>
        <v>0</v>
      </c>
      <c r="Q63" s="166">
        <f t="shared" ref="Q63:Q68" si="38">sum(N63:P63)/1000</f>
        <v>1518.64931</v>
      </c>
      <c r="R63" s="166">
        <f t="shared" ref="R63:R68" si="39">max(N63:P63)/1000</f>
        <v>1518.484699</v>
      </c>
      <c r="S63" s="167">
        <f t="shared" ref="S63:S68" si="40">O63/R63/1000</f>
        <v>0.0001084049547</v>
      </c>
      <c r="T63" s="149">
        <f t="shared" ref="T63:T68" si="41">N63/R63/1000</f>
        <v>1</v>
      </c>
      <c r="U63" s="168">
        <f t="shared" ref="U63:U68" si="42">K63/N63/J63</f>
        <v>9.999405738</v>
      </c>
    </row>
    <row r="64">
      <c r="A64" s="43" t="s">
        <v>39</v>
      </c>
      <c r="B64" s="162">
        <f t="shared" si="31"/>
        <v>178.4375</v>
      </c>
      <c r="C64" s="163">
        <f>$B64* Model!B$55</f>
        <v>178.4375</v>
      </c>
      <c r="D64" s="169">
        <f>B23*I47</f>
        <v>56000</v>
      </c>
      <c r="E64" s="164"/>
      <c r="F64" s="164">
        <f t="shared" si="32"/>
        <v>5</v>
      </c>
      <c r="G64" s="165">
        <v>1.0</v>
      </c>
      <c r="H64" s="165">
        <f>H70</f>
        <v>8</v>
      </c>
      <c r="I64" s="165">
        <v>1.0</v>
      </c>
      <c r="J64" s="164">
        <f t="shared" si="33"/>
        <v>8</v>
      </c>
      <c r="K64" s="162">
        <f>B23 * Model!C55*sumif($A$34:$A$59, A64, $F$34:$F$59)/10^9</f>
        <v>14944207.21</v>
      </c>
      <c r="L64" s="162">
        <f t="shared" si="34"/>
        <v>4.988705618</v>
      </c>
      <c r="M64" s="164">
        <f t="shared" si="35"/>
        <v>900</v>
      </c>
      <c r="N64" s="163">
        <f t="shared" si="36"/>
        <v>374454.4988</v>
      </c>
      <c r="O64" s="163">
        <f>10^6*(C64/H64+$I$42)/(I64*$C$10*1024)</f>
        <v>105.1903861</v>
      </c>
      <c r="P64" s="163">
        <f t="shared" si="37"/>
        <v>2194.596615</v>
      </c>
      <c r="Q64" s="166">
        <f t="shared" si="38"/>
        <v>376.7542858</v>
      </c>
      <c r="R64" s="166">
        <f t="shared" si="39"/>
        <v>374.4544988</v>
      </c>
      <c r="S64" s="167">
        <f t="shared" si="40"/>
        <v>0.0002809163369</v>
      </c>
      <c r="T64" s="149">
        <f t="shared" si="41"/>
        <v>1</v>
      </c>
      <c r="U64" s="168">
        <f t="shared" si="42"/>
        <v>4.988659255</v>
      </c>
    </row>
    <row r="65">
      <c r="A65" s="43" t="s">
        <v>54</v>
      </c>
      <c r="B65" s="162">
        <f t="shared" si="31"/>
        <v>212.625</v>
      </c>
      <c r="C65" s="163">
        <f>$B65* Model!B$56</f>
        <v>212.625</v>
      </c>
      <c r="D65" s="163"/>
      <c r="E65" s="164"/>
      <c r="F65" s="164">
        <f t="shared" si="32"/>
        <v>3</v>
      </c>
      <c r="G65" s="165">
        <v>1.0</v>
      </c>
      <c r="H65" s="165">
        <v>1.0</v>
      </c>
      <c r="I65" s="165">
        <v>1.0</v>
      </c>
      <c r="J65" s="164">
        <f t="shared" si="33"/>
        <v>1</v>
      </c>
      <c r="K65" s="162">
        <f>B23 * Model!C56*sumif($A$34:$A$59, A65, $F$34:$F$59)/10^9</f>
        <v>6495349.506</v>
      </c>
      <c r="L65" s="162">
        <f t="shared" si="34"/>
        <v>10</v>
      </c>
      <c r="M65" s="164">
        <f t="shared" si="35"/>
        <v>8192</v>
      </c>
      <c r="N65" s="163">
        <f t="shared" si="36"/>
        <v>649537.4406</v>
      </c>
      <c r="O65" s="163">
        <f t="shared" ref="O65:O67" si="43">10^6*C65/(H65*I65*$B$10*1024)</f>
        <v>25.34687519</v>
      </c>
      <c r="P65" s="163">
        <f t="shared" si="37"/>
        <v>0</v>
      </c>
      <c r="Q65" s="166">
        <f t="shared" si="38"/>
        <v>649.5627875</v>
      </c>
      <c r="R65" s="166">
        <f t="shared" si="39"/>
        <v>649.5374406</v>
      </c>
      <c r="S65" s="167">
        <f t="shared" si="40"/>
        <v>0.00003902296251</v>
      </c>
      <c r="T65" s="149">
        <f t="shared" si="41"/>
        <v>1</v>
      </c>
      <c r="U65" s="168">
        <f t="shared" si="42"/>
        <v>9.999961665</v>
      </c>
    </row>
    <row r="66">
      <c r="A66" s="43" t="s">
        <v>59</v>
      </c>
      <c r="B66" s="162">
        <f t="shared" si="31"/>
        <v>3.5</v>
      </c>
      <c r="C66" s="163">
        <f>$B66* Model!B$57</f>
        <v>3.5</v>
      </c>
      <c r="D66" s="163"/>
      <c r="E66" s="164"/>
      <c r="F66" s="164">
        <f t="shared" si="32"/>
        <v>1</v>
      </c>
      <c r="G66" s="165">
        <v>1.0</v>
      </c>
      <c r="H66" s="165">
        <v>1.0</v>
      </c>
      <c r="I66" s="165">
        <v>1.0</v>
      </c>
      <c r="J66" s="164">
        <f t="shared" si="33"/>
        <v>1</v>
      </c>
      <c r="K66" s="162">
        <f>B23 * Model!C57*sumif($A$34:$A$59, A66, $F$34:$F$59)/10^9</f>
        <v>30064.77107</v>
      </c>
      <c r="L66" s="162">
        <f t="shared" si="34"/>
        <v>2.5</v>
      </c>
      <c r="M66" s="164">
        <f t="shared" si="35"/>
        <v>8192</v>
      </c>
      <c r="N66" s="163">
        <f t="shared" si="36"/>
        <v>12027.40843</v>
      </c>
      <c r="O66" s="163">
        <f t="shared" si="43"/>
        <v>0.4172325134</v>
      </c>
      <c r="P66" s="163">
        <f t="shared" si="37"/>
        <v>0</v>
      </c>
      <c r="Q66" s="166">
        <f t="shared" si="38"/>
        <v>12.02782566</v>
      </c>
      <c r="R66" s="166">
        <f t="shared" si="39"/>
        <v>12.02740843</v>
      </c>
      <c r="S66" s="167">
        <f t="shared" si="40"/>
        <v>0.00003469014259</v>
      </c>
      <c r="T66" s="149">
        <f t="shared" si="41"/>
        <v>1</v>
      </c>
      <c r="U66" s="168">
        <f t="shared" si="42"/>
        <v>2.499688212</v>
      </c>
    </row>
    <row r="67">
      <c r="A67" s="43" t="s">
        <v>61</v>
      </c>
      <c r="B67" s="162">
        <f t="shared" si="31"/>
        <v>23.625</v>
      </c>
      <c r="C67" s="163">
        <f>$B67</f>
        <v>23.625</v>
      </c>
      <c r="D67" s="163"/>
      <c r="E67" s="164"/>
      <c r="F67" s="164">
        <f t="shared" si="32"/>
        <v>3</v>
      </c>
      <c r="G67" s="165">
        <v>1.0</v>
      </c>
      <c r="H67" s="165">
        <v>1.0</v>
      </c>
      <c r="I67" s="165">
        <f>H70</f>
        <v>8</v>
      </c>
      <c r="J67" s="164">
        <f t="shared" si="33"/>
        <v>8</v>
      </c>
      <c r="K67" s="164">
        <f>B23 * Model!B13*sumif($A$34:$A$59, A67, $F$34:$F$59)/10^9</f>
        <v>721705.5007</v>
      </c>
      <c r="L67" s="162">
        <f t="shared" si="34"/>
        <v>9.998430853</v>
      </c>
      <c r="M67" s="164">
        <f t="shared" si="35"/>
        <v>900</v>
      </c>
      <c r="N67" s="163">
        <f t="shared" si="36"/>
        <v>9025.224558</v>
      </c>
      <c r="O67" s="163">
        <f t="shared" si="43"/>
        <v>0.3520399332</v>
      </c>
      <c r="P67" s="163">
        <f t="shared" si="37"/>
        <v>1.4</v>
      </c>
      <c r="Q67" s="166">
        <f t="shared" si="38"/>
        <v>9.026976598</v>
      </c>
      <c r="R67" s="166">
        <f t="shared" si="39"/>
        <v>9.025224558</v>
      </c>
      <c r="S67" s="167">
        <f t="shared" si="40"/>
        <v>0.00003900622427</v>
      </c>
      <c r="T67" s="149">
        <f t="shared" si="41"/>
        <v>1</v>
      </c>
      <c r="U67" s="168">
        <f t="shared" si="42"/>
        <v>9.995672352</v>
      </c>
    </row>
    <row r="68">
      <c r="A68" s="43" t="s">
        <v>61</v>
      </c>
      <c r="B68" s="162">
        <f t="shared" si="31"/>
        <v>23.625</v>
      </c>
      <c r="C68" s="163">
        <f>$B68* Model!B$12</f>
        <v>6048</v>
      </c>
      <c r="D68" s="163"/>
      <c r="E68" s="164">
        <f>B23*I57</f>
        <v>31500</v>
      </c>
      <c r="F68" s="164">
        <f t="shared" si="32"/>
        <v>3</v>
      </c>
      <c r="G68" s="165">
        <v>1.0</v>
      </c>
      <c r="H68" s="165">
        <v>1.0</v>
      </c>
      <c r="I68" s="165">
        <f>H70</f>
        <v>8</v>
      </c>
      <c r="J68" s="164">
        <f t="shared" si="33"/>
        <v>8</v>
      </c>
      <c r="K68" s="164">
        <f>B23 * Model!B14*sumif($A$34:$A$59, A68, $F$34:$F$59)/10^9</f>
        <v>5773644.005</v>
      </c>
      <c r="L68" s="162">
        <f t="shared" si="34"/>
        <v>9.998430853</v>
      </c>
      <c r="M68" s="164">
        <f t="shared" si="35"/>
        <v>900</v>
      </c>
      <c r="N68" s="163">
        <f>(1+$B$20)*K68 / (I68*H68*L68) + (1+(1-$B$29)*(F68-1))*$B$28</f>
        <v>79402.55411</v>
      </c>
      <c r="O68" s="163">
        <f>(1-(1-Model!$B$14/Model!$B$12)^($C$24/I90)) * 10^6*C68/(H68*I68*$B$10*1024)</f>
        <v>88.57365062</v>
      </c>
      <c r="P68" s="163">
        <f t="shared" si="37"/>
        <v>29908.62656</v>
      </c>
      <c r="Q68" s="170">
        <f t="shared" si="38"/>
        <v>109.3997543</v>
      </c>
      <c r="R68" s="170">
        <f t="shared" si="39"/>
        <v>79.40255411</v>
      </c>
      <c r="S68" s="167">
        <f t="shared" si="40"/>
        <v>0.001115501278</v>
      </c>
      <c r="T68" s="149">
        <f t="shared" si="41"/>
        <v>1</v>
      </c>
      <c r="U68" s="168">
        <f t="shared" si="42"/>
        <v>9.089197555</v>
      </c>
    </row>
    <row r="69">
      <c r="A69" s="43"/>
      <c r="B69" s="43"/>
      <c r="D69" s="43"/>
      <c r="E69" s="43"/>
      <c r="F69" s="43"/>
      <c r="G69" s="15"/>
      <c r="H69" s="15"/>
      <c r="I69" s="43"/>
      <c r="J69" s="15"/>
      <c r="K69" s="161"/>
      <c r="L69" s="161"/>
      <c r="M69" s="161"/>
    </row>
    <row r="70">
      <c r="A70" s="43" t="s">
        <v>171</v>
      </c>
      <c r="B70" s="43"/>
      <c r="D70" s="43"/>
      <c r="E70" s="15"/>
      <c r="F70" s="15"/>
      <c r="H70" s="171">
        <v>8.0</v>
      </c>
      <c r="I70" s="172"/>
      <c r="J70" s="164">
        <f>max(J63:J68)</f>
        <v>8</v>
      </c>
      <c r="L70" s="170"/>
      <c r="M70" s="43" t="s">
        <v>172</v>
      </c>
      <c r="N70" s="66" t="s">
        <v>173</v>
      </c>
    </row>
    <row r="71">
      <c r="B71" s="173" t="s">
        <v>174</v>
      </c>
      <c r="C71" s="59" t="s">
        <v>175</v>
      </c>
      <c r="D71" s="61" t="s">
        <v>176</v>
      </c>
      <c r="E71" s="43" t="s">
        <v>177</v>
      </c>
      <c r="F71" s="15"/>
      <c r="G71" s="171"/>
      <c r="H71" s="174"/>
      <c r="I71" s="174"/>
      <c r="J71" s="161"/>
      <c r="M71" s="43">
        <v>0.0</v>
      </c>
      <c r="N71" s="175">
        <v>1.0</v>
      </c>
    </row>
    <row r="72">
      <c r="A72" s="43" t="s">
        <v>36</v>
      </c>
      <c r="B72" s="176">
        <f>Model!$B62 * C63/1024</f>
        <v>1.348495483</v>
      </c>
      <c r="C72" s="177">
        <f>Model!$B62 * K63</f>
        <v>15183944.61</v>
      </c>
      <c r="D72" s="176">
        <f>Model!$B62 * Q63</f>
        <v>1518.64931</v>
      </c>
      <c r="E72" s="170">
        <f>Model!$B62 * R63</f>
        <v>1518.484699</v>
      </c>
      <c r="F72" s="170"/>
      <c r="G72" s="149">
        <f t="shared" ref="G72:G77" si="44">C72/$C$79</f>
        <v>0.01146182424</v>
      </c>
      <c r="I72" s="178" t="s">
        <v>178</v>
      </c>
      <c r="K72" s="59"/>
      <c r="M72" s="43">
        <v>50.0</v>
      </c>
      <c r="N72" s="175">
        <v>0.95</v>
      </c>
      <c r="O72" s="15"/>
      <c r="P72" s="66"/>
      <c r="Q72" s="168"/>
      <c r="R72" s="168"/>
    </row>
    <row r="73">
      <c r="A73" s="43" t="s">
        <v>39</v>
      </c>
      <c r="B73" s="176">
        <f>Model!$B63 * (C64 + I42*H64) / 1024</f>
        <v>2155.160828</v>
      </c>
      <c r="C73" s="177">
        <f>Model!$B63 * K64</f>
        <v>911596639.7</v>
      </c>
      <c r="D73" s="176">
        <f>Model!$B63 * Q64</f>
        <v>22982.01143</v>
      </c>
      <c r="E73" s="170">
        <f>Model!$B63 * R64</f>
        <v>22841.72443</v>
      </c>
      <c r="F73" s="170"/>
      <c r="G73" s="149">
        <f t="shared" si="44"/>
        <v>0.6881321504</v>
      </c>
      <c r="I73" s="178"/>
      <c r="K73" s="61"/>
      <c r="L73" s="149"/>
      <c r="M73" s="43">
        <v>500.0</v>
      </c>
      <c r="N73" s="175">
        <v>0.85</v>
      </c>
      <c r="O73" s="15"/>
      <c r="P73" s="66"/>
      <c r="Q73" s="57"/>
      <c r="R73" s="179"/>
      <c r="T73" s="179"/>
    </row>
    <row r="74">
      <c r="A74" s="43" t="s">
        <v>54</v>
      </c>
      <c r="B74" s="176">
        <f>Model!$B64 * C65/1024</f>
        <v>0.6229248047</v>
      </c>
      <c r="C74" s="177">
        <f>Model!$B64 * K65</f>
        <v>19486048.52</v>
      </c>
      <c r="D74" s="176">
        <f>Model!$B64 * Q65</f>
        <v>1948.688362</v>
      </c>
      <c r="E74" s="170">
        <f>Model!$B64 * R65</f>
        <v>1948.612322</v>
      </c>
      <c r="F74" s="170"/>
      <c r="G74" s="149">
        <f t="shared" si="44"/>
        <v>0.01470933073</v>
      </c>
      <c r="I74" s="178" t="s">
        <v>179</v>
      </c>
      <c r="K74" s="61"/>
      <c r="L74" s="149"/>
      <c r="M74" s="43">
        <v>5000.0</v>
      </c>
      <c r="N74" s="175">
        <v>0.8</v>
      </c>
      <c r="O74" s="4"/>
      <c r="P74" s="13"/>
      <c r="Q74" s="168"/>
      <c r="R74" s="168"/>
    </row>
    <row r="75">
      <c r="A75" s="43" t="s">
        <v>59</v>
      </c>
      <c r="B75" s="176">
        <f>Model!$B65 * C66/1024</f>
        <v>0.1982421875</v>
      </c>
      <c r="C75" s="177">
        <f>Model!$B65 * K66</f>
        <v>1743756.722</v>
      </c>
      <c r="D75" s="176">
        <f>Model!$B65 * Q66</f>
        <v>697.6138884</v>
      </c>
      <c r="E75" s="170">
        <f>Model!$B65 * R66</f>
        <v>697.5896889</v>
      </c>
      <c r="F75" s="170"/>
      <c r="G75" s="149">
        <f t="shared" si="44"/>
        <v>0.001316300446</v>
      </c>
      <c r="I75" s="178" t="s">
        <v>180</v>
      </c>
      <c r="K75" s="122"/>
      <c r="M75" s="43">
        <v>9.99999999E8</v>
      </c>
      <c r="N75" s="175">
        <v>0.75</v>
      </c>
      <c r="O75" s="15"/>
      <c r="P75" s="66"/>
      <c r="Q75" s="57"/>
      <c r="R75" s="179"/>
    </row>
    <row r="76">
      <c r="A76" s="43" t="s">
        <v>61</v>
      </c>
      <c r="B76" s="176">
        <f>Model!$B66 * C67/1024</f>
        <v>1.338134766</v>
      </c>
      <c r="C76" s="177">
        <f>Model!$B66 * K67</f>
        <v>41858919.04</v>
      </c>
      <c r="D76" s="176">
        <f>Model!$B66 * Q67</f>
        <v>523.5646427</v>
      </c>
      <c r="E76" s="170">
        <f>Model!$B66 * R67</f>
        <v>523.4630244</v>
      </c>
      <c r="F76" s="170"/>
      <c r="G76" s="149">
        <f t="shared" si="44"/>
        <v>0.03159782158</v>
      </c>
      <c r="K76" s="180"/>
      <c r="L76" s="149"/>
      <c r="N76" s="14"/>
      <c r="O76" s="14"/>
      <c r="P76" s="14"/>
      <c r="Q76" s="168"/>
      <c r="R76" s="179"/>
    </row>
    <row r="77">
      <c r="A77" s="43" t="s">
        <v>61</v>
      </c>
      <c r="B77" s="176">
        <f>Model!$B66 * C68/1024</f>
        <v>342.5625</v>
      </c>
      <c r="C77" s="177">
        <f>Model!$B66 * K68</f>
        <v>334871352.3</v>
      </c>
      <c r="D77" s="176">
        <f>Model!$B66 * Q68</f>
        <v>6345.185751</v>
      </c>
      <c r="E77" s="170">
        <f>Model!$B66 * R68</f>
        <v>4605.348138</v>
      </c>
      <c r="F77" s="170"/>
      <c r="G77" s="149">
        <f t="shared" si="44"/>
        <v>0.2527825726</v>
      </c>
      <c r="K77" s="59"/>
      <c r="L77" s="66">
        <f>E79</f>
        <v>32135.2223</v>
      </c>
      <c r="M77" s="3">
        <f>match($L$77,$M$71:$M$75,1)</f>
        <v>4</v>
      </c>
      <c r="N77" s="14">
        <f t="shared" ref="N77:N78" si="45">index($M$71:$M$75,M77)</f>
        <v>5000</v>
      </c>
      <c r="O77" s="14">
        <f t="shared" ref="O77:O78" si="46">index($N$71:$N$75,M77)</f>
        <v>0.8</v>
      </c>
      <c r="P77" s="13">
        <f>O77*(1-N79)</f>
        <v>0.7999782917</v>
      </c>
      <c r="Q77" s="57"/>
      <c r="R77" s="179"/>
    </row>
    <row r="78">
      <c r="B78" s="176"/>
      <c r="C78" s="176"/>
      <c r="D78" s="176"/>
      <c r="K78" s="181"/>
      <c r="M78" s="3">
        <f>M77+1</f>
        <v>5</v>
      </c>
      <c r="N78" s="14">
        <f t="shared" si="45"/>
        <v>999999999</v>
      </c>
      <c r="O78" s="14">
        <f t="shared" si="46"/>
        <v>0.75</v>
      </c>
      <c r="P78" s="13">
        <f>O78*N79</f>
        <v>0.0000203515185</v>
      </c>
    </row>
    <row r="79">
      <c r="B79" s="176">
        <f t="shared" ref="B79:E79" si="47">sum(B72:B77)</f>
        <v>2501.231125</v>
      </c>
      <c r="C79" s="177">
        <f t="shared" si="47"/>
        <v>1324740661</v>
      </c>
      <c r="D79" s="176">
        <f t="shared" si="47"/>
        <v>34015.71339</v>
      </c>
      <c r="E79" s="176">
        <f t="shared" si="47"/>
        <v>32135.2223</v>
      </c>
      <c r="F79" s="170"/>
      <c r="G79" s="4"/>
      <c r="H79" s="4"/>
      <c r="N79" s="182">
        <f>(L77-N77)/(N78-N77)</f>
        <v>0.000027135358</v>
      </c>
      <c r="P79" s="183">
        <f>P78+P77</f>
        <v>0.7999986432</v>
      </c>
    </row>
    <row r="80">
      <c r="B80" s="167">
        <f>B79/J70/$B$9*1024</f>
        <v>1.62840568</v>
      </c>
      <c r="C80" s="163">
        <f>C79/B24/B23</f>
        <v>161.7115065</v>
      </c>
      <c r="D80" s="16"/>
      <c r="E80" s="170">
        <f>E79/P79</f>
        <v>40169.096</v>
      </c>
      <c r="F80" s="184" t="s">
        <v>181</v>
      </c>
      <c r="G80" s="4"/>
      <c r="H80" s="4"/>
      <c r="I80" s="4"/>
    </row>
    <row r="81">
      <c r="L81" s="175"/>
      <c r="O81" s="66" t="str">
        <f>B25</f>
        <v/>
      </c>
    </row>
    <row r="82">
      <c r="H82" s="43"/>
    </row>
    <row r="83">
      <c r="A83" s="43" t="s">
        <v>182</v>
      </c>
      <c r="B83" s="43"/>
      <c r="D83" s="43"/>
      <c r="E83" s="43"/>
      <c r="F83" s="15"/>
      <c r="G83" s="15"/>
      <c r="H83" s="15"/>
      <c r="I83" s="15"/>
      <c r="J83" s="161"/>
      <c r="K83" s="161"/>
    </row>
    <row r="84">
      <c r="A84" s="31"/>
      <c r="B84" s="31" t="s">
        <v>183</v>
      </c>
      <c r="C84" s="31" t="s">
        <v>153</v>
      </c>
      <c r="D84" s="54" t="s">
        <v>154</v>
      </c>
      <c r="E84" s="54" t="s">
        <v>155</v>
      </c>
      <c r="F84" s="54" t="s">
        <v>156</v>
      </c>
      <c r="G84" s="31" t="s">
        <v>157</v>
      </c>
      <c r="H84" s="54" t="s">
        <v>184</v>
      </c>
      <c r="I84" s="54" t="s">
        <v>159</v>
      </c>
      <c r="J84" s="54" t="s">
        <v>185</v>
      </c>
      <c r="K84" s="54" t="s">
        <v>161</v>
      </c>
      <c r="L84" s="31" t="s">
        <v>162</v>
      </c>
      <c r="M84" s="31" t="s">
        <v>186</v>
      </c>
      <c r="N84" s="31" t="s">
        <v>164</v>
      </c>
      <c r="O84" s="31" t="s">
        <v>165</v>
      </c>
      <c r="P84" s="31" t="s">
        <v>166</v>
      </c>
      <c r="Q84" s="31" t="s">
        <v>167</v>
      </c>
      <c r="R84" s="62" t="s">
        <v>168</v>
      </c>
      <c r="S84" s="31" t="s">
        <v>169</v>
      </c>
    </row>
    <row r="85">
      <c r="A85" s="43" t="s">
        <v>36</v>
      </c>
      <c r="B85" s="162">
        <f t="shared" ref="B85:B90" si="48">sumif($A$34:$A$59, $A85, M$34:M$59)</f>
        <v>1380.859375</v>
      </c>
      <c r="C85" s="163">
        <f>$B85* Model!$B$54</f>
        <v>1380.859375</v>
      </c>
      <c r="D85" s="163"/>
      <c r="E85" s="164"/>
      <c r="F85" s="164">
        <f t="shared" ref="F85:F90" si="49">sumproduct($A$34:$A$59=A85, $D$34:$D$59&gt;0)</f>
        <v>2</v>
      </c>
      <c r="G85" s="165">
        <v>1.0</v>
      </c>
      <c r="H85" s="165">
        <v>1.0</v>
      </c>
      <c r="I85" s="165">
        <v>1.0</v>
      </c>
      <c r="J85" s="164">
        <f t="shared" ref="J85:J90" si="50">PRODUCT(G85:I85)</f>
        <v>1</v>
      </c>
      <c r="K85" s="162">
        <f>Model!C54*sumif($A$34:$A$59, A85, $K$34:$K$59)/10^9</f>
        <v>1897.993077</v>
      </c>
      <c r="L85" s="162">
        <f t="shared" ref="L85:L90" si="51">sumproduct($A$34:$A$59=A85, $J$34:$J$59,$K$34:$K$59)/sumif($A$34:$A$59,A85,$K$34:$K$59)</f>
        <v>66.65560987</v>
      </c>
      <c r="M85" s="164">
        <f t="shared" ref="M85:M90" si="52">if(J85&lt;=1, $C$10, if(J85&lt;=$C$12, $C$14, $C$15))</f>
        <v>41984</v>
      </c>
      <c r="N85" s="163">
        <f t="shared" ref="N85:N89" si="53">K85 / (J85*L85) + (1+(1-$B$29)*(F85-1))*$B$28</f>
        <v>30.46961872</v>
      </c>
      <c r="O85" s="163">
        <f>10^6*(C85)/(H85*I85*$C$10*1024)</f>
        <v>32.11927123</v>
      </c>
      <c r="P85" s="163">
        <f>10^6*(1-1/H85)*D85/(M85*H85*1024)*(1-$B$29) + 10^6*2*((I85-1)/I85)*D85/1024/M85 + (J85-1)*$C$16</f>
        <v>0</v>
      </c>
      <c r="Q85" s="185">
        <f t="shared" ref="Q85:Q90" si="54">sum(N85:P85)/1000</f>
        <v>0.06258888995</v>
      </c>
      <c r="R85" s="185">
        <f t="shared" ref="R85:R90" si="55">max(N85:P85)/1000</f>
        <v>0.03211927123</v>
      </c>
      <c r="S85" s="167">
        <f t="shared" ref="S85:S90" si="56">O85/R85/1000</f>
        <v>1</v>
      </c>
    </row>
    <row r="86">
      <c r="A86" s="43" t="s">
        <v>39</v>
      </c>
      <c r="B86" s="162">
        <f t="shared" si="48"/>
        <v>178.4375</v>
      </c>
      <c r="C86" s="163">
        <f>$B86* Model!$B$55</f>
        <v>178.4375</v>
      </c>
      <c r="D86" s="163">
        <f>N47</f>
        <v>7</v>
      </c>
      <c r="E86" s="164"/>
      <c r="F86" s="164">
        <f t="shared" si="49"/>
        <v>5</v>
      </c>
      <c r="G86" s="165">
        <f>H92/H86</f>
        <v>1</v>
      </c>
      <c r="H86" s="165">
        <f>H92</f>
        <v>8</v>
      </c>
      <c r="I86" s="165">
        <v>1.0</v>
      </c>
      <c r="J86" s="164">
        <f t="shared" si="50"/>
        <v>8</v>
      </c>
      <c r="K86" s="162">
        <f>Model!C55*sumif($A$34:$A$59, A86, $K$34:$K$59)/10^9</f>
        <v>2053.623853</v>
      </c>
      <c r="L86" s="162">
        <f t="shared" si="51"/>
        <v>22.16867119</v>
      </c>
      <c r="M86" s="164">
        <f t="shared" si="52"/>
        <v>1800</v>
      </c>
      <c r="N86" s="163">
        <f t="shared" si="53"/>
        <v>15.05953851</v>
      </c>
      <c r="O86" s="163">
        <f>10^6*(C86/H86+$C$25*$N$42)/(I86*$C$10*1024)</f>
        <v>170.6101182</v>
      </c>
      <c r="P86" s="163">
        <f>10^6*(1-1/H86)*D86/(M86*H86*1024)*(1-$B$29) + 10^6*2*((1-1/I86)*D86/1024/M86) + (J86-1)*$C$16</f>
        <v>1.537074788</v>
      </c>
      <c r="Q86" s="185">
        <f t="shared" si="54"/>
        <v>0.1872067315</v>
      </c>
      <c r="R86" s="185">
        <f t="shared" si="55"/>
        <v>0.1706101182</v>
      </c>
      <c r="S86" s="167">
        <f t="shared" si="56"/>
        <v>1</v>
      </c>
    </row>
    <row r="87">
      <c r="A87" s="43" t="s">
        <v>54</v>
      </c>
      <c r="B87" s="162">
        <f t="shared" si="48"/>
        <v>212.625</v>
      </c>
      <c r="C87" s="163">
        <f>$B87* Model!$B$56</f>
        <v>212.625</v>
      </c>
      <c r="D87" s="163"/>
      <c r="E87" s="164"/>
      <c r="F87" s="164">
        <f t="shared" si="49"/>
        <v>3</v>
      </c>
      <c r="G87" s="165">
        <v>1.0</v>
      </c>
      <c r="H87" s="165">
        <v>1.0</v>
      </c>
      <c r="I87" s="165">
        <v>1.0</v>
      </c>
      <c r="J87" s="164">
        <f t="shared" si="50"/>
        <v>1</v>
      </c>
      <c r="K87" s="162">
        <f>Model!C56*sumif($A$34:$A$59, A87, $K$34:$K$59)/10^9</f>
        <v>811.9186883</v>
      </c>
      <c r="L87" s="162">
        <f t="shared" si="51"/>
        <v>66.66</v>
      </c>
      <c r="M87" s="164">
        <f t="shared" si="52"/>
        <v>41984</v>
      </c>
      <c r="N87" s="163">
        <f t="shared" si="53"/>
        <v>14.66999832</v>
      </c>
      <c r="O87" s="163">
        <f t="shared" ref="O87:O89" si="57">10^6*(C87)/(H87*I87*$C$10*1024)</f>
        <v>4.945731745</v>
      </c>
      <c r="P87" s="163">
        <f t="shared" ref="P87:P89" si="58">10^6*(1-1/H87)*D87/(M87*H87*1024)*(1-$B$29) + 10^6*2*((I87-1)/I87)*D87/1024/M87 + (J87-1)*$C$16</f>
        <v>0</v>
      </c>
      <c r="Q87" s="185">
        <f t="shared" si="54"/>
        <v>0.01961573007</v>
      </c>
      <c r="R87" s="185">
        <f t="shared" si="55"/>
        <v>0.01466999832</v>
      </c>
      <c r="S87" s="167">
        <f t="shared" si="56"/>
        <v>0.3371324001</v>
      </c>
    </row>
    <row r="88">
      <c r="A88" s="43" t="s">
        <v>59</v>
      </c>
      <c r="B88" s="162">
        <f t="shared" si="48"/>
        <v>3.5</v>
      </c>
      <c r="C88" s="163">
        <f>$B88* Model!$B$57</f>
        <v>3.5</v>
      </c>
      <c r="D88" s="163"/>
      <c r="E88" s="164"/>
      <c r="F88" s="164">
        <f t="shared" si="49"/>
        <v>1</v>
      </c>
      <c r="G88" s="165">
        <v>1.0</v>
      </c>
      <c r="H88" s="165">
        <v>1.0</v>
      </c>
      <c r="I88" s="165">
        <v>1.0</v>
      </c>
      <c r="J88" s="164">
        <f t="shared" si="50"/>
        <v>1</v>
      </c>
      <c r="K88" s="162">
        <f>Model!C57*sumif($A$34:$A$59, A88, $K$34:$K$59)/10^9</f>
        <v>3.758096384</v>
      </c>
      <c r="L88" s="162">
        <f t="shared" si="51"/>
        <v>11.11</v>
      </c>
      <c r="M88" s="164">
        <f t="shared" si="52"/>
        <v>41984</v>
      </c>
      <c r="N88" s="163">
        <f t="shared" si="53"/>
        <v>1.838262501</v>
      </c>
      <c r="O88" s="163">
        <f t="shared" si="57"/>
        <v>0.08141122213</v>
      </c>
      <c r="P88" s="163">
        <f t="shared" si="58"/>
        <v>0</v>
      </c>
      <c r="Q88" s="185">
        <f t="shared" si="54"/>
        <v>0.001919673723</v>
      </c>
      <c r="R88" s="185">
        <f t="shared" si="55"/>
        <v>0.001838262501</v>
      </c>
      <c r="S88" s="167">
        <f t="shared" si="56"/>
        <v>0.04428704937</v>
      </c>
    </row>
    <row r="89">
      <c r="A89" s="43" t="s">
        <v>61</v>
      </c>
      <c r="B89" s="162">
        <f t="shared" si="48"/>
        <v>23.625</v>
      </c>
      <c r="C89" s="163">
        <f>$B89</f>
        <v>23.625</v>
      </c>
      <c r="D89" s="163"/>
      <c r="E89" s="164"/>
      <c r="F89" s="164">
        <f t="shared" si="49"/>
        <v>3</v>
      </c>
      <c r="G89" s="165">
        <v>1.0</v>
      </c>
      <c r="H89" s="165">
        <v>1.0</v>
      </c>
      <c r="I89" s="165">
        <v>1.0</v>
      </c>
      <c r="J89" s="164">
        <f t="shared" si="50"/>
        <v>1</v>
      </c>
      <c r="K89" s="162">
        <f>Model!B13 * sumif($A$34:$A$59, A89, $K$34:$K$59)/10^9</f>
        <v>90.21318758</v>
      </c>
      <c r="L89" s="162">
        <f t="shared" si="51"/>
        <v>66.64837785</v>
      </c>
      <c r="M89" s="164">
        <f t="shared" si="52"/>
        <v>41984</v>
      </c>
      <c r="N89" s="163">
        <f t="shared" si="53"/>
        <v>3.843569141</v>
      </c>
      <c r="O89" s="163">
        <f t="shared" si="57"/>
        <v>0.5495257494</v>
      </c>
      <c r="P89" s="163">
        <f t="shared" si="58"/>
        <v>0</v>
      </c>
      <c r="Q89" s="185">
        <f t="shared" si="54"/>
        <v>0.004393094891</v>
      </c>
      <c r="R89" s="185">
        <f t="shared" si="55"/>
        <v>0.003843569141</v>
      </c>
      <c r="S89" s="167">
        <f t="shared" si="56"/>
        <v>0.1429727759</v>
      </c>
    </row>
    <row r="90">
      <c r="A90" s="43" t="s">
        <v>61</v>
      </c>
      <c r="B90" s="162">
        <f t="shared" si="48"/>
        <v>23.625</v>
      </c>
      <c r="C90" s="163">
        <f>$B90* Model!$B$12</f>
        <v>6048</v>
      </c>
      <c r="D90" s="163"/>
      <c r="E90" s="186">
        <f>N57</f>
        <v>3.9375</v>
      </c>
      <c r="F90" s="164">
        <f t="shared" si="49"/>
        <v>3</v>
      </c>
      <c r="G90" s="165">
        <v>1.0</v>
      </c>
      <c r="H90" s="165">
        <v>1.0</v>
      </c>
      <c r="I90" s="165">
        <f>H92</f>
        <v>8</v>
      </c>
      <c r="J90" s="164">
        <f t="shared" si="50"/>
        <v>8</v>
      </c>
      <c r="K90" s="162">
        <f>Model!B14 * sumif($A$34:$A$59, A90, $K$34:$K$59)/10^9</f>
        <v>721.7055007</v>
      </c>
      <c r="L90" s="162">
        <f t="shared" si="51"/>
        <v>66.64837785</v>
      </c>
      <c r="M90" s="164">
        <f t="shared" si="52"/>
        <v>1800</v>
      </c>
      <c r="N90" s="163">
        <f>(1+$C$20) * K90 / (J90*L90) + (1+(1-$B$29)*(F90-1))*$B$28</f>
        <v>4.11428297</v>
      </c>
      <c r="O90" s="163">
        <f>(1+$C$20) * (1-(1-Model!$B$14/Model!$B$12)^($C$24/I90)) * 10^6*C90/(H90*I90*$C$10*1024)</f>
        <v>20.73919624</v>
      </c>
      <c r="P90" s="163">
        <f>10^6*(1-1/H90)*D90/(M90*H90*1024)*(1-$B$29) + 2*10^6*((I90-1)/I90)*E90/1024/M90 + (J90-1)*$C$16</f>
        <v>5.13840332</v>
      </c>
      <c r="Q90" s="185">
        <f t="shared" si="54"/>
        <v>0.02999188253</v>
      </c>
      <c r="R90" s="185">
        <f t="shared" si="55"/>
        <v>0.02073919624</v>
      </c>
      <c r="S90" s="167">
        <f t="shared" si="56"/>
        <v>1</v>
      </c>
    </row>
    <row r="91">
      <c r="A91" s="43"/>
      <c r="B91" s="43"/>
      <c r="D91" s="43"/>
      <c r="E91" s="43"/>
      <c r="F91" s="43"/>
      <c r="G91" s="15"/>
      <c r="H91" s="15"/>
      <c r="I91" s="43"/>
      <c r="J91" s="15"/>
      <c r="K91" s="161"/>
      <c r="L91" s="161"/>
      <c r="M91" s="161"/>
    </row>
    <row r="92">
      <c r="A92" s="43" t="s">
        <v>171</v>
      </c>
      <c r="B92" s="43"/>
      <c r="D92" s="43"/>
      <c r="E92" s="15"/>
      <c r="F92" s="15"/>
      <c r="H92" s="171">
        <v>8.0</v>
      </c>
      <c r="I92" s="172"/>
      <c r="J92" s="164">
        <f>max(J85:J90)</f>
        <v>8</v>
      </c>
      <c r="L92" s="170"/>
      <c r="N92" s="14"/>
    </row>
    <row r="93">
      <c r="B93" s="173" t="s">
        <v>174</v>
      </c>
      <c r="C93" s="59" t="s">
        <v>175</v>
      </c>
      <c r="D93" s="61" t="s">
        <v>176</v>
      </c>
      <c r="E93" s="43" t="s">
        <v>187</v>
      </c>
      <c r="F93" s="15"/>
      <c r="H93" s="187"/>
      <c r="J93" s="161"/>
    </row>
    <row r="94">
      <c r="A94" s="43" t="s">
        <v>36</v>
      </c>
      <c r="B94" s="176">
        <f>Model!$B62 * C85/1024</f>
        <v>1.348495483</v>
      </c>
      <c r="C94" s="176">
        <f>Model!$B62 * K85</f>
        <v>1897.993077</v>
      </c>
      <c r="D94" s="176">
        <f>Model!$B62 * Q85</f>
        <v>0.06258888995</v>
      </c>
      <c r="E94" s="176">
        <f>Model!$B62 * R85</f>
        <v>0.03211927123</v>
      </c>
      <c r="F94" s="170"/>
      <c r="G94" s="149"/>
      <c r="K94" s="59"/>
      <c r="N94" s="66"/>
      <c r="O94" s="15"/>
      <c r="P94" s="66"/>
      <c r="Q94" s="168"/>
      <c r="R94" s="168"/>
    </row>
    <row r="95">
      <c r="A95" s="43" t="s">
        <v>39</v>
      </c>
      <c r="B95" s="176">
        <f>Model!$B63 * (C86 + N42*H86) / 1024</f>
        <v>2423.227234</v>
      </c>
      <c r="C95" s="176">
        <f>Model!$B63 * K86</f>
        <v>125271.055</v>
      </c>
      <c r="D95" s="176">
        <f>Model!$B63 * Q86</f>
        <v>11.41961062</v>
      </c>
      <c r="E95" s="176">
        <f>Model!$B63 * R86</f>
        <v>10.40721721</v>
      </c>
      <c r="F95" s="170"/>
      <c r="G95" s="149"/>
      <c r="I95" s="3">
        <f>B90*8</f>
        <v>189</v>
      </c>
      <c r="J95" s="3">
        <f>10^6 * I95/2^20/40</f>
        <v>4.506111145</v>
      </c>
      <c r="K95" s="61"/>
      <c r="L95" s="149"/>
      <c r="N95" s="66"/>
      <c r="O95" s="15"/>
      <c r="P95" s="66"/>
      <c r="Q95" s="57">
        <f>O95*(Model!$B$8+Model!$B$7+Model!$B$9+2)*2/1024</f>
        <v>0</v>
      </c>
      <c r="R95" s="179" t="s">
        <v>188</v>
      </c>
    </row>
    <row r="96">
      <c r="A96" s="43" t="s">
        <v>54</v>
      </c>
      <c r="B96" s="176">
        <f>Model!$B64 * C87/1024</f>
        <v>0.6229248047</v>
      </c>
      <c r="C96" s="176">
        <f>Model!$B64 * K87</f>
        <v>2435.756065</v>
      </c>
      <c r="D96" s="176">
        <f>Model!$B64 * Q87</f>
        <v>0.0588471902</v>
      </c>
      <c r="E96" s="176">
        <f>Model!$B64 * R87</f>
        <v>0.04400999497</v>
      </c>
      <c r="F96" s="170"/>
      <c r="G96" s="149"/>
      <c r="K96" s="61"/>
      <c r="L96" s="149"/>
      <c r="N96" s="66"/>
      <c r="O96" s="4"/>
      <c r="P96" s="13"/>
      <c r="Q96" s="168"/>
      <c r="R96" s="168"/>
    </row>
    <row r="97">
      <c r="A97" s="43" t="s">
        <v>59</v>
      </c>
      <c r="B97" s="176">
        <f>Model!$B65 * C88/1024</f>
        <v>0.1982421875</v>
      </c>
      <c r="C97" s="176">
        <f>Model!$B65 * K88</f>
        <v>217.9695903</v>
      </c>
      <c r="D97" s="176">
        <f>Model!$B65 * Q88</f>
        <v>0.1113410759</v>
      </c>
      <c r="E97" s="176">
        <f>Model!$B65 * R88</f>
        <v>0.106619225</v>
      </c>
      <c r="F97" s="170"/>
      <c r="G97" s="149"/>
      <c r="K97" s="122"/>
      <c r="N97" s="66"/>
      <c r="O97" s="15"/>
      <c r="P97" s="66"/>
      <c r="Q97" s="57">
        <f>O97*(Model!$B$8+Model!$B$7)/1024</f>
        <v>0</v>
      </c>
      <c r="R97" s="179" t="s">
        <v>188</v>
      </c>
    </row>
    <row r="98">
      <c r="A98" s="43" t="s">
        <v>61</v>
      </c>
      <c r="B98" s="176">
        <f>Model!$B66 * C89/1024</f>
        <v>1.338134766</v>
      </c>
      <c r="C98" s="176">
        <f>Model!$B66 * K89</f>
        <v>5232.36488</v>
      </c>
      <c r="D98" s="176">
        <f>Model!$B66 * Q89</f>
        <v>0.2547995037</v>
      </c>
      <c r="E98" s="176">
        <f>Model!$B66 * R89</f>
        <v>0.2229270102</v>
      </c>
      <c r="F98" s="170"/>
      <c r="G98" s="149"/>
      <c r="K98" s="180"/>
      <c r="L98" s="149"/>
      <c r="N98" s="14"/>
      <c r="O98" s="14"/>
      <c r="P98" s="14"/>
      <c r="Q98" s="168"/>
      <c r="R98" s="179"/>
    </row>
    <row r="99">
      <c r="A99" s="43" t="s">
        <v>61</v>
      </c>
      <c r="B99" s="176">
        <f>Model!$B66 * C90/1024</f>
        <v>342.5625</v>
      </c>
      <c r="C99" s="176">
        <f>Model!$B66 * K90</f>
        <v>41858.91904</v>
      </c>
      <c r="D99" s="176">
        <f>Model!$B66 * Q90</f>
        <v>1.739529187</v>
      </c>
      <c r="E99" s="176">
        <f>Model!$B66 * R90</f>
        <v>1.202873382</v>
      </c>
      <c r="F99" s="170"/>
      <c r="G99" s="149"/>
      <c r="K99" s="59"/>
      <c r="N99" s="14"/>
      <c r="O99" s="14"/>
      <c r="P99" s="14"/>
      <c r="Q99" s="57">
        <f>Q97+Q95</f>
        <v>0</v>
      </c>
      <c r="R99" s="179" t="s">
        <v>188</v>
      </c>
    </row>
    <row r="100">
      <c r="B100" s="176"/>
      <c r="C100" s="176"/>
      <c r="D100" s="176"/>
      <c r="E100" s="176"/>
      <c r="K100" s="181"/>
      <c r="Q100" s="57">
        <f>Q99+24</f>
        <v>24</v>
      </c>
    </row>
    <row r="101">
      <c r="B101" s="176">
        <f t="shared" ref="B101:E101" si="59">sum(B94:B99)</f>
        <v>2769.297531</v>
      </c>
      <c r="C101" s="176">
        <f t="shared" si="59"/>
        <v>176914.0577</v>
      </c>
      <c r="D101" s="176">
        <f t="shared" si="59"/>
        <v>13.64671647</v>
      </c>
      <c r="E101" s="176">
        <f t="shared" si="59"/>
        <v>12.01576609</v>
      </c>
      <c r="F101" s="170"/>
      <c r="H101" s="15"/>
      <c r="I101" s="4"/>
    </row>
    <row r="102">
      <c r="B102" s="167">
        <f>B101/ max(J85:J90)/$C$9*1024</f>
        <v>0.338049015</v>
      </c>
      <c r="C102" s="163">
        <f>C101/C24</f>
        <v>172.7676345</v>
      </c>
      <c r="D102" s="16"/>
      <c r="E102" s="188"/>
      <c r="F102" s="170"/>
    </row>
    <row r="104">
      <c r="I104" s="43" t="s">
        <v>189</v>
      </c>
      <c r="J104" s="43" t="s">
        <v>190</v>
      </c>
    </row>
    <row r="105">
      <c r="A105" s="16"/>
      <c r="B105" s="171" t="s">
        <v>191</v>
      </c>
      <c r="C105" s="171" t="s">
        <v>192</v>
      </c>
      <c r="D105" s="189" t="s">
        <v>193</v>
      </c>
      <c r="E105" s="189" t="s">
        <v>194</v>
      </c>
      <c r="F105" s="189" t="s">
        <v>195</v>
      </c>
      <c r="G105" s="189" t="s">
        <v>196</v>
      </c>
      <c r="H105" s="43" t="s">
        <v>197</v>
      </c>
      <c r="I105" s="171" t="s">
        <v>198</v>
      </c>
      <c r="J105" s="171" t="s">
        <v>198</v>
      </c>
      <c r="K105" s="43"/>
      <c r="L105" s="43" t="s">
        <v>199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>
      <c r="A106" s="43" t="s">
        <v>200</v>
      </c>
      <c r="B106" s="57">
        <f>E80/1000</f>
        <v>40.169096</v>
      </c>
      <c r="C106" s="66">
        <v>1.0</v>
      </c>
      <c r="D106" s="4">
        <f>B23*B24/B106/J70</f>
        <v>25492.23413</v>
      </c>
      <c r="E106" s="14">
        <f>sumproduct(C72:C77,L63:L68)/sum(C72:C77)</f>
        <v>6.541242072</v>
      </c>
      <c r="F106" s="149">
        <f>C80*D106/10^6/ E106</f>
        <v>0.6302148031</v>
      </c>
      <c r="G106" s="149">
        <f>sumproduct(R63:R68,S63:S68) / sum(R63:R68)</f>
        <v>0.0001454791401</v>
      </c>
      <c r="H106" s="149">
        <f t="shared" ref="H106:H108" si="60">($M$108 + ($M$106*F106 + $M$107*G106)*($B$8-$M$108))/$B$8</f>
        <v>0.6418237895</v>
      </c>
      <c r="I106" s="4">
        <f>$D106/(H106* $B$8/1000)</f>
        <v>23831058.81</v>
      </c>
      <c r="J106" s="4">
        <f t="shared" ref="J106:J108" si="61">$D106/($C$8/1000)</f>
        <v>6118136.191</v>
      </c>
      <c r="K106" s="190"/>
      <c r="L106" s="190" t="s">
        <v>201</v>
      </c>
      <c r="M106" s="191">
        <v>0.45</v>
      </c>
      <c r="N106" s="43" t="s">
        <v>202</v>
      </c>
    </row>
    <row r="107">
      <c r="A107" s="43" t="s">
        <v>203</v>
      </c>
      <c r="B107" s="57">
        <f>C23*D101/1000</f>
        <v>13.64671647</v>
      </c>
      <c r="C107" s="66">
        <f>J92/J70 * (B24/C24)</f>
        <v>1</v>
      </c>
      <c r="D107" s="4">
        <f>C23*C24/B107/J92</f>
        <v>9379.545644</v>
      </c>
      <c r="E107" s="14">
        <f>sumproduct(C94:C99, L85:L90)/sum(C94:C99)</f>
        <v>35.08455812</v>
      </c>
      <c r="F107" s="149">
        <f>C102*D107/10^6/ E107</f>
        <v>0.04618789575</v>
      </c>
      <c r="G107" s="149">
        <f>sumproduct(R85:R90,S85:S90) / sum(R85:R90)</f>
        <v>0.9394014598</v>
      </c>
      <c r="H107" s="149">
        <f t="shared" si="60"/>
        <v>0.674787532</v>
      </c>
      <c r="I107" s="4">
        <f t="shared" ref="I107:I108" si="62">$D107/(H107* $C$8/1000)</f>
        <v>3335999.626</v>
      </c>
      <c r="J107" s="4">
        <f t="shared" si="61"/>
        <v>2251090.955</v>
      </c>
      <c r="K107" s="190"/>
      <c r="L107" s="190" t="s">
        <v>204</v>
      </c>
      <c r="M107" s="191">
        <v>0.35</v>
      </c>
      <c r="N107" s="43" t="s">
        <v>202</v>
      </c>
    </row>
    <row r="108">
      <c r="A108" s="43" t="s">
        <v>205</v>
      </c>
      <c r="B108" s="57">
        <f>B106+B107</f>
        <v>53.81581247</v>
      </c>
      <c r="C108" s="4"/>
      <c r="D108" s="4">
        <f>sumproduct($B106:$B107, $C106:$C107, D106:D107)/sumproduct($B106:$B107,$C106:$C107)</f>
        <v>21406.34782</v>
      </c>
      <c r="E108" s="14">
        <f>sumproduct($B106:$B107, E106:E107)/$B108</f>
        <v>13.77931065</v>
      </c>
      <c r="F108" s="149">
        <f>sumproduct($B106:$B107, $C106:$C107, F106:F107)/sumproduct($B106:$B107,$C106:$C107)</f>
        <v>0.4821161449</v>
      </c>
      <c r="G108" s="149">
        <f>sumproduct($B106:$B107, G106:G107)/$B108</f>
        <v>0.2383238039</v>
      </c>
      <c r="H108" s="149">
        <f t="shared" si="60"/>
        <v>0.6501827983</v>
      </c>
      <c r="I108" s="4">
        <f t="shared" si="62"/>
        <v>7901660.103</v>
      </c>
      <c r="J108" s="4">
        <f t="shared" si="61"/>
        <v>5137523.477</v>
      </c>
      <c r="K108" s="190"/>
      <c r="L108" s="190" t="s">
        <v>206</v>
      </c>
      <c r="M108" s="191">
        <f>B8*0.5</f>
        <v>0.8333333333</v>
      </c>
      <c r="N108" s="43" t="s">
        <v>207</v>
      </c>
    </row>
    <row r="109">
      <c r="A109" s="43"/>
      <c r="B109" s="57"/>
      <c r="H109" s="43"/>
    </row>
    <row r="110">
      <c r="A110" s="62"/>
      <c r="B110" s="57"/>
      <c r="H110" s="56"/>
    </row>
    <row r="111">
      <c r="A111" s="192" t="s">
        <v>208</v>
      </c>
      <c r="E111" s="43" t="s">
        <v>209</v>
      </c>
      <c r="F111" s="43">
        <v>8.0</v>
      </c>
      <c r="H111" s="56"/>
    </row>
    <row r="112">
      <c r="A112" s="193" t="s">
        <v>210</v>
      </c>
      <c r="B112" s="194">
        <f>B106+B113/1000</f>
        <v>40.18274272</v>
      </c>
      <c r="F112" s="43">
        <f>2^G112</f>
        <v>64</v>
      </c>
      <c r="G112" s="15">
        <v>6.0</v>
      </c>
      <c r="H112" s="56"/>
    </row>
    <row r="113">
      <c r="A113" s="195" t="s">
        <v>211</v>
      </c>
      <c r="B113" s="196">
        <f>D101</f>
        <v>13.64671647</v>
      </c>
      <c r="E113" s="43" t="s">
        <v>212</v>
      </c>
      <c r="F113" s="43">
        <v>2.0</v>
      </c>
      <c r="G113" s="4"/>
    </row>
    <row r="114">
      <c r="A114" s="193" t="s">
        <v>213</v>
      </c>
      <c r="B114" s="197">
        <f>C23/B107</f>
        <v>73.27770034</v>
      </c>
      <c r="C114" s="57">
        <f>(C10*J92)/B101</f>
        <v>121.2841871</v>
      </c>
      <c r="E114" s="198"/>
      <c r="F114" s="43">
        <f>2^G114</f>
        <v>32</v>
      </c>
      <c r="G114" s="15">
        <v>5.0</v>
      </c>
      <c r="J114" s="4"/>
    </row>
    <row r="115">
      <c r="A115" s="195" t="s">
        <v>214</v>
      </c>
      <c r="B115" s="199">
        <f>D108*B12*B13</f>
        <v>1541257.043</v>
      </c>
      <c r="E115" s="3" t="str">
        <f t="shared" ref="E115:F115" si="63">A112</f>
        <v>TTFT, sec</v>
      </c>
      <c r="F115" s="57">
        <f t="shared" si="63"/>
        <v>40.18274272</v>
      </c>
      <c r="G115" s="4"/>
      <c r="H115" s="15"/>
      <c r="J115" s="4"/>
    </row>
    <row r="116">
      <c r="A116" s="193" t="s">
        <v>198</v>
      </c>
      <c r="B116" s="200">
        <f>offset(I108, 0, 1*(C116="TDP"))</f>
        <v>5137523.477</v>
      </c>
      <c r="C116" s="15" t="s">
        <v>190</v>
      </c>
      <c r="E116" s="3" t="str">
        <f t="shared" ref="E116:F116" si="64">A113</f>
        <v>TBOT, millis</v>
      </c>
      <c r="F116" s="14">
        <f t="shared" si="64"/>
        <v>13.64671647</v>
      </c>
      <c r="G116" s="4"/>
      <c r="J116" s="4"/>
      <c r="M116" s="175"/>
    </row>
    <row r="117">
      <c r="A117" s="195" t="s">
        <v>215</v>
      </c>
      <c r="B117" s="201">
        <f>F108</f>
        <v>0.4821161449</v>
      </c>
      <c r="E117" s="3" t="str">
        <f t="shared" ref="E117:F117" si="65">A114</f>
        <v>TPS/ one user</v>
      </c>
      <c r="F117" s="57">
        <f t="shared" si="65"/>
        <v>73.27770034</v>
      </c>
      <c r="H117" s="43"/>
      <c r="M117" s="175"/>
    </row>
    <row r="118">
      <c r="A118" s="193" t="s">
        <v>216</v>
      </c>
      <c r="B118" s="202">
        <f>G108</f>
        <v>0.2383238039</v>
      </c>
      <c r="E118" s="3" t="str">
        <f t="shared" ref="E118:F118" si="66">A116</f>
        <v>TPS / MW</v>
      </c>
      <c r="F118" s="4">
        <f t="shared" si="66"/>
        <v>5137523.477</v>
      </c>
      <c r="G118" s="4"/>
      <c r="H118" s="43"/>
    </row>
    <row r="119">
      <c r="A119" s="195" t="s">
        <v>217</v>
      </c>
      <c r="B119" s="203">
        <f>B18/B115*10^6</f>
        <v>0.02604997837</v>
      </c>
      <c r="E119" s="43" t="s">
        <v>218</v>
      </c>
      <c r="F119" s="149">
        <f t="shared" ref="F119:F120" si="67">F106</f>
        <v>0.6302148031</v>
      </c>
      <c r="H119" s="43"/>
    </row>
    <row r="120">
      <c r="E120" s="43" t="s">
        <v>219</v>
      </c>
      <c r="F120" s="149">
        <f t="shared" si="67"/>
        <v>0.04618789575</v>
      </c>
    </row>
    <row r="121">
      <c r="E121" s="43" t="s">
        <v>220</v>
      </c>
      <c r="F121" s="149">
        <f t="shared" ref="F121:F122" si="68">G106</f>
        <v>0.0001454791401</v>
      </c>
    </row>
    <row r="122">
      <c r="B122" s="57">
        <f>B112/B113</f>
        <v>2.94449898</v>
      </c>
      <c r="E122" s="43" t="s">
        <v>221</v>
      </c>
      <c r="F122" s="149">
        <f t="shared" si="68"/>
        <v>0.9394014598</v>
      </c>
      <c r="X122" s="189" t="s">
        <v>222</v>
      </c>
      <c r="Y122" s="189" t="s">
        <v>223</v>
      </c>
      <c r="Z122" s="189" t="s">
        <v>224</v>
      </c>
      <c r="AA122" s="189" t="s">
        <v>225</v>
      </c>
    </row>
    <row r="123">
      <c r="B123" s="149">
        <f>B80</f>
        <v>1.62840568</v>
      </c>
      <c r="D123" s="167"/>
      <c r="E123" s="3" t="str">
        <f t="shared" ref="E123:F123" si="69">A119</f>
        <v>Cost / Mtok, $</v>
      </c>
      <c r="F123" s="70">
        <f t="shared" si="69"/>
        <v>0.02604997837</v>
      </c>
      <c r="K123" s="4"/>
      <c r="W123" s="170">
        <v>194.68675390174025</v>
      </c>
      <c r="X123" s="169">
        <v>1.0745646887013974E7</v>
      </c>
      <c r="Y123" s="16"/>
      <c r="Z123" s="16"/>
    </row>
    <row r="124">
      <c r="B124" s="149">
        <f>B102</f>
        <v>0.338049015</v>
      </c>
      <c r="W124" s="170">
        <v>385.38746221098893</v>
      </c>
      <c r="X124" s="169">
        <v>6729436.835245718</v>
      </c>
      <c r="Y124" s="16"/>
      <c r="Z124" s="16"/>
    </row>
    <row r="125">
      <c r="A125" s="62"/>
      <c r="B125" s="62"/>
      <c r="C125" s="31"/>
      <c r="D125" s="31"/>
      <c r="E125" s="31"/>
      <c r="F125" s="31"/>
      <c r="G125" s="170"/>
      <c r="W125" s="170">
        <v>549.694532503574</v>
      </c>
      <c r="X125" s="169">
        <v>5175372.432418801</v>
      </c>
      <c r="Y125" s="16"/>
      <c r="Z125" s="16"/>
    </row>
    <row r="126">
      <c r="A126" s="189" t="s">
        <v>226</v>
      </c>
      <c r="B126" s="204"/>
      <c r="C126" s="164"/>
      <c r="D126" s="169"/>
      <c r="E126" s="169"/>
      <c r="F126" s="205"/>
      <c r="G126" s="170"/>
      <c r="K126" s="14"/>
      <c r="W126" s="170">
        <v>788.9789790057456</v>
      </c>
      <c r="X126" s="169">
        <v>557077.9956308089</v>
      </c>
      <c r="Y126" s="16"/>
      <c r="Z126" s="16"/>
    </row>
    <row r="127">
      <c r="A127" s="171"/>
      <c r="B127" s="204"/>
      <c r="C127" s="164"/>
      <c r="D127" s="169"/>
      <c r="E127" s="169"/>
      <c r="F127" s="205"/>
      <c r="G127" s="170"/>
      <c r="K127" s="14"/>
      <c r="W127" s="170"/>
      <c r="X127" s="169"/>
      <c r="Y127" s="16"/>
      <c r="Z127" s="16"/>
    </row>
    <row r="128">
      <c r="A128" s="43">
        <v>1.0</v>
      </c>
      <c r="B128" s="171">
        <v>8.0</v>
      </c>
      <c r="C128" s="164"/>
      <c r="D128" s="169"/>
      <c r="E128" s="169"/>
      <c r="F128" s="205"/>
      <c r="G128" s="170"/>
      <c r="K128" s="14"/>
      <c r="L128" s="43">
        <v>1.0</v>
      </c>
      <c r="W128" s="170"/>
      <c r="X128" s="169"/>
      <c r="Y128" s="16"/>
      <c r="Z128" s="16"/>
    </row>
    <row r="129">
      <c r="A129" s="189">
        <v>512.0</v>
      </c>
      <c r="B129" s="171">
        <v>512.0</v>
      </c>
      <c r="C129" s="164"/>
      <c r="D129" s="169"/>
      <c r="E129" s="169"/>
      <c r="F129" s="205"/>
      <c r="G129" s="170"/>
      <c r="K129" s="14"/>
      <c r="L129" s="43">
        <v>512.0</v>
      </c>
      <c r="W129" s="170"/>
      <c r="X129" s="169"/>
      <c r="Y129" s="16"/>
      <c r="Z129" s="16"/>
    </row>
    <row r="130">
      <c r="A130" s="189">
        <v>1.0</v>
      </c>
      <c r="B130" s="171">
        <v>2.0</v>
      </c>
      <c r="C130" s="164"/>
      <c r="D130" s="169"/>
      <c r="E130" s="169"/>
      <c r="F130" s="205"/>
      <c r="G130" s="170"/>
      <c r="K130" s="14"/>
      <c r="L130" s="43">
        <v>1.0</v>
      </c>
      <c r="W130" s="170"/>
      <c r="X130" s="169"/>
      <c r="Y130" s="16"/>
      <c r="Z130" s="16"/>
    </row>
    <row r="131">
      <c r="A131" s="189">
        <v>256.0</v>
      </c>
      <c r="B131" s="171">
        <v>32.0</v>
      </c>
      <c r="C131" s="164"/>
      <c r="D131" s="169"/>
      <c r="E131" s="169"/>
      <c r="F131" s="205"/>
      <c r="G131" s="170"/>
      <c r="K131" s="14"/>
      <c r="L131" s="43">
        <v>16.0</v>
      </c>
      <c r="W131" s="170"/>
      <c r="X131" s="169"/>
      <c r="Y131" s="16"/>
      <c r="Z131" s="16"/>
    </row>
    <row r="132">
      <c r="A132" s="206">
        <v>335.6937990944604</v>
      </c>
      <c r="B132" s="170">
        <v>40.660838339809914</v>
      </c>
      <c r="C132" s="164"/>
      <c r="D132" s="169"/>
      <c r="E132" s="169"/>
      <c r="F132" s="205"/>
      <c r="G132" s="170"/>
      <c r="K132" s="14"/>
      <c r="L132" s="57">
        <v>308.0373981129545</v>
      </c>
      <c r="W132" s="170"/>
      <c r="X132" s="169"/>
      <c r="Y132" s="16"/>
      <c r="Z132" s="16"/>
    </row>
    <row r="133">
      <c r="A133" s="207">
        <v>26.194110617873637</v>
      </c>
      <c r="B133" s="163">
        <v>4.255162553262798</v>
      </c>
      <c r="C133" s="164"/>
      <c r="D133" s="169"/>
      <c r="E133" s="169"/>
      <c r="F133" s="205"/>
      <c r="G133" s="170"/>
      <c r="K133" s="14"/>
      <c r="L133" s="14">
        <v>5.255297604406593</v>
      </c>
      <c r="W133" s="170"/>
      <c r="X133" s="169"/>
      <c r="Y133" s="16"/>
      <c r="Z133" s="16"/>
    </row>
    <row r="134">
      <c r="A134" s="206">
        <v>38.176520462490785</v>
      </c>
      <c r="B134" s="170">
        <v>235.00864831431983</v>
      </c>
      <c r="C134" s="164"/>
      <c r="D134" s="169"/>
      <c r="E134" s="169"/>
      <c r="F134" s="205"/>
      <c r="G134" s="170"/>
      <c r="K134" s="14"/>
      <c r="L134" s="57">
        <v>190.28418089234282</v>
      </c>
      <c r="W134" s="170"/>
      <c r="X134" s="169"/>
      <c r="Y134" s="16"/>
      <c r="Z134" s="16"/>
    </row>
    <row r="135">
      <c r="A135" s="208">
        <v>6512153.4008108685</v>
      </c>
      <c r="B135" s="169">
        <v>3474684.979631739</v>
      </c>
      <c r="C135" s="164"/>
      <c r="D135" s="169"/>
      <c r="E135" s="169"/>
      <c r="F135" s="205"/>
      <c r="G135" s="170"/>
      <c r="K135" s="14"/>
      <c r="L135" s="4">
        <v>2972804.3389282115</v>
      </c>
      <c r="W135" s="170"/>
      <c r="X135" s="169"/>
      <c r="Y135" s="16"/>
      <c r="Z135" s="16"/>
    </row>
    <row r="136">
      <c r="A136" s="209">
        <v>0.6935294560824548</v>
      </c>
      <c r="B136" s="167">
        <v>0.6550104068796646</v>
      </c>
      <c r="C136" s="164"/>
      <c r="D136" s="169"/>
      <c r="E136" s="169"/>
      <c r="F136" s="205"/>
      <c r="G136" s="170"/>
      <c r="K136" s="14"/>
      <c r="L136" s="149">
        <v>0.6870618365357364</v>
      </c>
      <c r="W136" s="170"/>
      <c r="X136" s="169"/>
      <c r="Y136" s="16"/>
      <c r="Z136" s="16"/>
    </row>
    <row r="137">
      <c r="A137" s="209">
        <v>0.19019287336871255</v>
      </c>
      <c r="B137" s="167">
        <v>0.0731748361753421</v>
      </c>
      <c r="C137" s="164"/>
      <c r="D137" s="169"/>
      <c r="E137" s="169"/>
      <c r="F137" s="205"/>
      <c r="G137" s="170"/>
      <c r="K137" s="14"/>
      <c r="L137" s="149">
        <v>0.05924894195780075</v>
      </c>
      <c r="W137" s="170"/>
      <c r="X137" s="169"/>
      <c r="Y137" s="16"/>
      <c r="Z137" s="16"/>
    </row>
    <row r="138">
      <c r="A138" s="209">
        <v>7.764701411283786E-5</v>
      </c>
      <c r="B138" s="167">
        <v>2.1744272954798654E-4</v>
      </c>
      <c r="C138" s="164"/>
      <c r="D138" s="169"/>
      <c r="E138" s="169"/>
      <c r="F138" s="205"/>
      <c r="G138" s="170"/>
      <c r="K138" s="14"/>
      <c r="L138" s="149">
        <v>6.559164945074583E-5</v>
      </c>
      <c r="W138" s="170"/>
      <c r="X138" s="169"/>
      <c r="Y138" s="16"/>
      <c r="Z138" s="16"/>
    </row>
    <row r="139">
      <c r="A139" s="209">
        <v>0.9883168500923398</v>
      </c>
      <c r="B139" s="167">
        <v>0.9639159728352562</v>
      </c>
      <c r="C139" s="164"/>
      <c r="D139" s="169"/>
      <c r="E139" s="169"/>
      <c r="F139" s="205"/>
      <c r="G139" s="170"/>
      <c r="K139" s="14"/>
      <c r="L139" s="149">
        <v>0.9699738486785882</v>
      </c>
      <c r="W139" s="170"/>
      <c r="X139" s="169"/>
      <c r="Y139" s="16"/>
      <c r="Z139" s="16"/>
    </row>
    <row r="140">
      <c r="A140" s="210">
        <v>0.04460207842427997</v>
      </c>
      <c r="B140" s="211">
        <v>0.08359191650366288</v>
      </c>
      <c r="C140" s="164"/>
      <c r="D140" s="169"/>
      <c r="E140" s="169"/>
      <c r="F140" s="205"/>
      <c r="G140" s="170"/>
      <c r="K140" s="14"/>
      <c r="L140" s="70">
        <v>0.09770423599375738</v>
      </c>
      <c r="W140" s="170"/>
      <c r="X140" s="169"/>
      <c r="Y140" s="16"/>
      <c r="Z140" s="16"/>
    </row>
    <row r="141">
      <c r="A141" s="189"/>
      <c r="B141" s="204"/>
      <c r="C141" s="164"/>
      <c r="D141" s="169"/>
      <c r="E141" s="169"/>
      <c r="F141" s="205"/>
      <c r="G141" s="170"/>
      <c r="K141" s="14"/>
      <c r="W141" s="170"/>
      <c r="X141" s="169"/>
      <c r="Y141" s="16"/>
      <c r="Z141" s="16"/>
    </row>
    <row r="142">
      <c r="A142" s="189"/>
      <c r="B142" s="204"/>
      <c r="C142" s="164"/>
      <c r="D142" s="169"/>
      <c r="E142" s="169"/>
      <c r="F142" s="205"/>
      <c r="G142" s="170"/>
      <c r="K142" s="14"/>
      <c r="W142" s="170"/>
      <c r="X142" s="169"/>
      <c r="Y142" s="16"/>
      <c r="Z142" s="16"/>
    </row>
    <row r="143">
      <c r="A143" s="189" t="s">
        <v>227</v>
      </c>
      <c r="B143" s="204"/>
      <c r="C143" s="164"/>
      <c r="D143" s="169"/>
      <c r="E143" s="169"/>
      <c r="F143" s="205"/>
      <c r="G143" s="170"/>
      <c r="K143" s="14"/>
      <c r="W143" s="170">
        <v>266.85126021897446</v>
      </c>
      <c r="X143" s="169">
        <v>8524886.65045205</v>
      </c>
      <c r="Y143" s="16"/>
      <c r="Z143" s="16"/>
    </row>
    <row r="144">
      <c r="A144" s="171"/>
      <c r="B144" s="204"/>
      <c r="C144" s="164"/>
      <c r="D144" s="169"/>
      <c r="E144" s="169"/>
      <c r="F144" s="205"/>
      <c r="G144" s="170"/>
      <c r="K144" s="14"/>
      <c r="W144" s="170">
        <v>133.6125709552221</v>
      </c>
      <c r="X144" s="169">
        <v>1.240208277153395E7</v>
      </c>
      <c r="Y144" s="16"/>
      <c r="Z144" s="16"/>
    </row>
    <row r="145">
      <c r="A145" s="43">
        <v>4.0</v>
      </c>
      <c r="B145" s="171">
        <v>4.0</v>
      </c>
      <c r="C145" s="171">
        <v>4.0</v>
      </c>
      <c r="D145" s="171">
        <v>4.0</v>
      </c>
      <c r="E145" s="171">
        <v>4.0</v>
      </c>
      <c r="F145" s="171">
        <v>4.0</v>
      </c>
      <c r="G145" s="171">
        <v>4.0</v>
      </c>
      <c r="K145" s="14"/>
      <c r="L145" s="43">
        <v>4.0</v>
      </c>
      <c r="W145" s="170">
        <v>668.2812587691363</v>
      </c>
      <c r="X145" s="169">
        <v>1803278.4331838018</v>
      </c>
      <c r="Y145" s="16"/>
      <c r="Z145" s="16"/>
    </row>
    <row r="146">
      <c r="A146" s="43">
        <v>256.0</v>
      </c>
      <c r="B146" s="171">
        <v>256.0</v>
      </c>
      <c r="C146" s="171">
        <v>256.0</v>
      </c>
      <c r="D146" s="171">
        <v>256.0</v>
      </c>
      <c r="E146" s="171">
        <v>256.0</v>
      </c>
      <c r="F146" s="171">
        <v>256.0</v>
      </c>
      <c r="G146" s="171">
        <v>256.0</v>
      </c>
      <c r="K146" s="14"/>
      <c r="L146" s="43">
        <v>256.0</v>
      </c>
      <c r="W146" s="170">
        <v>97.19886993670637</v>
      </c>
      <c r="X146" s="169">
        <v>1.4719943913828978E7</v>
      </c>
      <c r="Y146" s="16"/>
      <c r="Z146" s="16"/>
    </row>
    <row r="147">
      <c r="A147" s="43">
        <v>4.0</v>
      </c>
      <c r="B147" s="171">
        <v>8.0</v>
      </c>
      <c r="C147" s="171">
        <v>8.0</v>
      </c>
      <c r="D147" s="171">
        <v>16.0</v>
      </c>
      <c r="E147" s="171">
        <v>4.0</v>
      </c>
      <c r="F147" s="171">
        <v>4.0</v>
      </c>
      <c r="G147" s="171">
        <v>16.0</v>
      </c>
      <c r="K147" s="14"/>
      <c r="L147" s="43">
        <v>2.0</v>
      </c>
      <c r="W147" s="170">
        <v>204.12269798054575</v>
      </c>
      <c r="X147" s="16"/>
      <c r="Y147" s="169">
        <v>1.776102392585968E7</v>
      </c>
      <c r="Z147" s="16"/>
    </row>
    <row r="148">
      <c r="A148" s="43">
        <v>512.0</v>
      </c>
      <c r="B148" s="171">
        <v>256.0</v>
      </c>
      <c r="C148" s="171">
        <v>128.0</v>
      </c>
      <c r="D148" s="171">
        <v>16.0</v>
      </c>
      <c r="E148" s="171">
        <v>256.0</v>
      </c>
      <c r="F148" s="171">
        <v>1024.0</v>
      </c>
      <c r="G148" s="171">
        <v>64.0</v>
      </c>
      <c r="K148" s="14"/>
      <c r="L148" s="43">
        <v>1024.0</v>
      </c>
      <c r="W148" s="170">
        <v>261.4066102417952</v>
      </c>
      <c r="X148" s="16"/>
      <c r="Y148" s="169">
        <v>1.411071237628463E7</v>
      </c>
      <c r="Z148" s="16"/>
    </row>
    <row r="149">
      <c r="A149" s="57">
        <v>1.7251564298243687</v>
      </c>
      <c r="B149" s="170">
        <v>1.6605393050147044</v>
      </c>
      <c r="C149" s="170">
        <v>1.6287574827247155</v>
      </c>
      <c r="D149" s="170">
        <v>1.6010925144880124</v>
      </c>
      <c r="E149" s="170">
        <v>1.6616919197519595</v>
      </c>
      <c r="F149" s="170">
        <v>1.8519078539815337</v>
      </c>
      <c r="G149" s="170">
        <v>1.6129394225080111</v>
      </c>
      <c r="K149" s="14"/>
      <c r="L149" s="57">
        <v>1.8547117137271483</v>
      </c>
      <c r="W149" s="170">
        <v>30.273594664889043</v>
      </c>
      <c r="X149" s="16"/>
      <c r="Y149" s="169">
        <v>2.473843265634973E7</v>
      </c>
      <c r="Z149" s="16"/>
    </row>
    <row r="150">
      <c r="A150" s="14">
        <v>5.13645628148234</v>
      </c>
      <c r="B150" s="163">
        <v>2.594791211584688</v>
      </c>
      <c r="C150" s="163">
        <v>1.8191921892428469</v>
      </c>
      <c r="D150" s="163">
        <v>1.2674608913664323</v>
      </c>
      <c r="E150" s="163">
        <v>3.7474059488398663</v>
      </c>
      <c r="F150" s="163">
        <v>7.484325710154415</v>
      </c>
      <c r="G150" s="163">
        <v>1.496375944825738</v>
      </c>
      <c r="K150" s="14"/>
      <c r="L150" s="14">
        <v>10.288185455768946</v>
      </c>
      <c r="W150" s="170">
        <v>502.69448011772084</v>
      </c>
      <c r="X150" s="16"/>
      <c r="Y150" s="169">
        <v>8656714.749508975</v>
      </c>
      <c r="Z150" s="16"/>
    </row>
    <row r="151">
      <c r="A151" s="57">
        <v>194.68675390174025</v>
      </c>
      <c r="B151" s="170">
        <v>385.38746221098893</v>
      </c>
      <c r="C151" s="170">
        <v>549.694532503574</v>
      </c>
      <c r="D151" s="170">
        <v>788.9789790057456</v>
      </c>
      <c r="E151" s="170">
        <v>266.85126021897446</v>
      </c>
      <c r="F151" s="170">
        <v>133.6125709552221</v>
      </c>
      <c r="G151" s="170">
        <v>668.2812587691363</v>
      </c>
      <c r="K151" s="14"/>
      <c r="L151" s="57">
        <v>97.19886993670637</v>
      </c>
      <c r="W151" s="170">
        <v>176.26781464704612</v>
      </c>
      <c r="X151" s="16"/>
      <c r="Y151" s="169">
        <v>2.1689601736940946E7</v>
      </c>
      <c r="Z151" s="16"/>
    </row>
    <row r="152">
      <c r="A152" s="4">
        <v>1.0745646887013974E7</v>
      </c>
      <c r="B152" s="169">
        <v>6729436.835245718</v>
      </c>
      <c r="C152" s="169">
        <v>5175372.432418801</v>
      </c>
      <c r="D152" s="169">
        <v>557077.9956308089</v>
      </c>
      <c r="E152" s="169">
        <v>8524886.65045205</v>
      </c>
      <c r="F152" s="169">
        <v>1.240208277153395E7</v>
      </c>
      <c r="G152" s="169">
        <v>1803278.4331838018</v>
      </c>
      <c r="K152" s="14"/>
      <c r="L152" s="4">
        <v>1.4719943913828978E7</v>
      </c>
      <c r="W152" s="170">
        <v>218.85346618567775</v>
      </c>
      <c r="X152" s="16"/>
      <c r="Y152" s="169">
        <v>1.6802259818124443E7</v>
      </c>
      <c r="Z152" s="16"/>
    </row>
    <row r="153">
      <c r="A153" s="149">
        <v>0.4918548752439422</v>
      </c>
      <c r="B153" s="167">
        <v>0.4829632420452962</v>
      </c>
      <c r="C153" s="167">
        <v>0.4783294884723399</v>
      </c>
      <c r="D153" s="167">
        <v>0.47416695828888095</v>
      </c>
      <c r="E153" s="167">
        <v>0.4829632420452962</v>
      </c>
      <c r="F153" s="167">
        <v>0.5082599850633231</v>
      </c>
      <c r="G153" s="167">
        <v>0.47596348317813203</v>
      </c>
      <c r="K153" s="14"/>
      <c r="L153" s="149">
        <v>0.5082599850633231</v>
      </c>
      <c r="W153" s="170">
        <v>369.7513557182018</v>
      </c>
      <c r="X153" s="16"/>
      <c r="Y153" s="169">
        <v>1.1357039895366278E7</v>
      </c>
      <c r="Z153" s="16"/>
    </row>
    <row r="154">
      <c r="A154" s="149">
        <v>0.06147719224746327</v>
      </c>
      <c r="B154" s="167">
        <v>0.03042392282638903</v>
      </c>
      <c r="C154" s="167">
        <v>0.021697467710847428</v>
      </c>
      <c r="D154" s="167">
        <v>0.001946404424329438</v>
      </c>
      <c r="E154" s="167">
        <v>0.042132466377860486</v>
      </c>
      <c r="F154" s="167">
        <v>0.08438299521330293</v>
      </c>
      <c r="G154" s="167">
        <v>0.006594576704205046</v>
      </c>
      <c r="K154" s="14"/>
      <c r="L154" s="149">
        <v>0.12277185773719274</v>
      </c>
      <c r="W154" s="170">
        <v>103.7806903494735</v>
      </c>
      <c r="X154" s="16"/>
      <c r="Y154" s="169">
        <v>2.2975359707344525E7</v>
      </c>
      <c r="Z154" s="16"/>
    </row>
    <row r="155">
      <c r="A155" s="149">
        <v>0.01640411304715453</v>
      </c>
      <c r="B155" s="167">
        <v>0.013777124629946798</v>
      </c>
      <c r="C155" s="167">
        <v>0.011900481936974036</v>
      </c>
      <c r="D155" s="167">
        <v>0.009030379053792057</v>
      </c>
      <c r="E155" s="167">
        <v>0.0156395703277519</v>
      </c>
      <c r="F155" s="167">
        <v>0.016237181543505702</v>
      </c>
      <c r="G155" s="167">
        <v>0.009691152936933123</v>
      </c>
      <c r="K155" s="14"/>
      <c r="L155" s="149">
        <v>0.016239496494929725</v>
      </c>
      <c r="W155" s="170">
        <v>598.8335789929754</v>
      </c>
      <c r="X155" s="16"/>
      <c r="Y155" s="169">
        <v>3135454.157421171</v>
      </c>
      <c r="Z155" s="16"/>
    </row>
    <row r="156">
      <c r="A156" s="149">
        <v>0.9282304486011435</v>
      </c>
      <c r="B156" s="167">
        <v>0.9354207654189411</v>
      </c>
      <c r="C156" s="167">
        <v>0.9359316556266424</v>
      </c>
      <c r="D156" s="167">
        <v>0.908731814757994</v>
      </c>
      <c r="E156" s="167">
        <v>0.9500186816207303</v>
      </c>
      <c r="F156" s="167">
        <v>0.8982346769335068</v>
      </c>
      <c r="G156" s="167">
        <v>0.9172680668346077</v>
      </c>
      <c r="K156" s="14"/>
      <c r="L156" s="149">
        <v>0.9185300820816839</v>
      </c>
      <c r="W156" s="170">
        <v>194.68675390174025</v>
      </c>
      <c r="X156" s="16"/>
      <c r="Y156" s="169"/>
      <c r="Z156" s="169">
        <v>1.5357096498267608E7</v>
      </c>
    </row>
    <row r="157">
      <c r="A157" s="70">
        <v>0.0041201079491436955</v>
      </c>
      <c r="B157" s="211">
        <v>0.006579038668732952</v>
      </c>
      <c r="C157" s="211">
        <v>0.008554596936936887</v>
      </c>
      <c r="D157" s="211">
        <v>0.07947401531762992</v>
      </c>
      <c r="E157" s="211">
        <v>0.005193409246741105</v>
      </c>
      <c r="F157" s="211">
        <v>0.0035698217769918623</v>
      </c>
      <c r="G157" s="211">
        <v>0.024551519245816247</v>
      </c>
      <c r="K157" s="14"/>
      <c r="L157" s="70">
        <v>0.003007703386443206</v>
      </c>
      <c r="W157" s="170">
        <v>339.2604751702079</v>
      </c>
      <c r="X157" s="16"/>
      <c r="Y157" s="16"/>
      <c r="Z157" s="169">
        <v>9313351.083569515</v>
      </c>
    </row>
    <row r="158">
      <c r="A158" s="171"/>
      <c r="B158" s="204"/>
      <c r="C158" s="164"/>
      <c r="D158" s="169"/>
      <c r="E158" s="169"/>
      <c r="F158" s="205"/>
      <c r="G158" s="170"/>
      <c r="K158" s="14"/>
      <c r="W158" s="170">
        <v>232.45998888194723</v>
      </c>
      <c r="X158" s="16"/>
      <c r="Y158" s="16"/>
      <c r="Z158" s="169">
        <v>1.2376966075557875E7</v>
      </c>
    </row>
    <row r="159">
      <c r="A159" s="171"/>
      <c r="B159" s="204"/>
      <c r="C159" s="164"/>
      <c r="D159" s="169"/>
      <c r="E159" s="169"/>
      <c r="F159" s="205"/>
      <c r="G159" s="170"/>
      <c r="K159" s="14"/>
      <c r="W159" s="170">
        <v>485.2557277036722</v>
      </c>
      <c r="X159" s="16"/>
      <c r="Y159" s="16"/>
      <c r="Z159" s="169">
        <v>6872259.871494333</v>
      </c>
    </row>
    <row r="160">
      <c r="A160" s="171" t="s">
        <v>228</v>
      </c>
      <c r="B160" s="204"/>
      <c r="C160" s="164"/>
      <c r="D160" s="169"/>
      <c r="E160" s="169"/>
      <c r="F160" s="205"/>
      <c r="G160" s="170"/>
      <c r="K160" s="14"/>
      <c r="W160" s="170">
        <v>541.1700238439149</v>
      </c>
      <c r="X160" s="16"/>
      <c r="Y160" s="16"/>
      <c r="Z160" s="169">
        <v>3011152.0135962325</v>
      </c>
    </row>
    <row r="161">
      <c r="A161" s="171"/>
      <c r="B161" s="170"/>
      <c r="C161" s="170"/>
      <c r="D161" s="170"/>
      <c r="E161" s="170"/>
      <c r="F161" s="170"/>
      <c r="G161" s="170"/>
      <c r="K161" s="14"/>
      <c r="W161" s="170">
        <v>385.38746221098893</v>
      </c>
      <c r="X161" s="16"/>
      <c r="Y161" s="16"/>
      <c r="Z161" s="169">
        <v>8061670.903584418</v>
      </c>
    </row>
    <row r="162">
      <c r="A162" s="171">
        <v>4.0</v>
      </c>
      <c r="B162" s="171"/>
      <c r="C162" s="31">
        <v>4.0</v>
      </c>
      <c r="D162" s="31">
        <v>4.0</v>
      </c>
      <c r="E162" s="31">
        <v>4.0</v>
      </c>
      <c r="F162" s="171">
        <v>3.0</v>
      </c>
      <c r="G162" s="31">
        <v>3.0</v>
      </c>
      <c r="H162" s="31">
        <v>4.0</v>
      </c>
      <c r="I162" s="31">
        <v>4.0</v>
      </c>
      <c r="J162" s="31"/>
      <c r="K162" s="31"/>
      <c r="L162" s="31">
        <v>4.0</v>
      </c>
      <c r="W162" s="170">
        <v>25.079738972739605</v>
      </c>
      <c r="X162" s="16"/>
      <c r="Y162" s="16"/>
      <c r="Z162" s="169">
        <v>2.6840995380903818E7</v>
      </c>
    </row>
    <row r="163">
      <c r="A163" s="171">
        <v>1024.0</v>
      </c>
      <c r="B163" s="171"/>
      <c r="C163" s="171">
        <v>1024.0</v>
      </c>
      <c r="D163" s="171">
        <v>1024.0</v>
      </c>
      <c r="E163" s="171">
        <v>1024.0</v>
      </c>
      <c r="F163" s="171">
        <v>512.0</v>
      </c>
      <c r="G163" s="171">
        <v>512.0</v>
      </c>
      <c r="H163" s="171">
        <v>1024.0</v>
      </c>
      <c r="I163" s="171">
        <v>1024.0</v>
      </c>
      <c r="J163" s="171"/>
      <c r="K163" s="171"/>
      <c r="L163" s="171">
        <v>1024.0</v>
      </c>
      <c r="W163" s="170">
        <v>266.85126021897446</v>
      </c>
      <c r="X163" s="16"/>
      <c r="Y163" s="16"/>
      <c r="Z163" s="169">
        <v>1.0927899441675756E7</v>
      </c>
    </row>
    <row r="164">
      <c r="A164" s="171">
        <v>4.0</v>
      </c>
      <c r="B164" s="171"/>
      <c r="C164" s="171">
        <v>4.0</v>
      </c>
      <c r="D164" s="171">
        <v>1.0</v>
      </c>
      <c r="E164" s="171">
        <v>8.0</v>
      </c>
      <c r="F164" s="171">
        <v>3.0</v>
      </c>
      <c r="G164" s="171">
        <v>3.0</v>
      </c>
      <c r="H164" s="171">
        <v>8.0</v>
      </c>
      <c r="I164" s="171">
        <v>2.0</v>
      </c>
      <c r="J164" s="171"/>
      <c r="K164" s="171"/>
      <c r="L164" s="171">
        <v>4.0</v>
      </c>
      <c r="W164" s="191">
        <v>588.978979005746</v>
      </c>
      <c r="X164" s="16"/>
      <c r="Y164" s="16"/>
      <c r="Z164" s="169">
        <v>564447.2115921036</v>
      </c>
    </row>
    <row r="165">
      <c r="A165" s="171">
        <v>1024.0</v>
      </c>
      <c r="B165" s="171"/>
      <c r="C165" s="171">
        <v>512.0</v>
      </c>
      <c r="D165" s="171">
        <v>8192.0</v>
      </c>
      <c r="E165" s="171">
        <v>256.0</v>
      </c>
      <c r="F165" s="171">
        <v>1024.0</v>
      </c>
      <c r="G165" s="171">
        <v>512.0</v>
      </c>
      <c r="H165" s="171">
        <v>512.0</v>
      </c>
      <c r="I165" s="171">
        <v>2048.0</v>
      </c>
      <c r="J165" s="171"/>
      <c r="K165" s="171"/>
      <c r="L165" s="171">
        <v>32.0</v>
      </c>
      <c r="W165" s="170">
        <v>133.6125709552221</v>
      </c>
      <c r="X165" s="16"/>
      <c r="Y165" s="16"/>
      <c r="Z165" s="169">
        <v>1.9666220024435606E7</v>
      </c>
    </row>
    <row r="166">
      <c r="A166" s="170">
        <v>5.483664857584957</v>
      </c>
      <c r="B166" s="170"/>
      <c r="C166" s="170">
        <v>5.415325868417658</v>
      </c>
      <c r="D166" s="170">
        <v>6.451534348413875</v>
      </c>
      <c r="E166" s="170">
        <v>5.379892514570744</v>
      </c>
      <c r="F166" s="170">
        <v>2.834468030667803</v>
      </c>
      <c r="G166" s="170">
        <v>2.7486038860475994</v>
      </c>
      <c r="H166" s="170">
        <v>5.414204930621357</v>
      </c>
      <c r="I166" s="170">
        <v>5.623217428416091</v>
      </c>
      <c r="J166" s="170"/>
      <c r="K166" s="170"/>
      <c r="L166" s="170">
        <v>5.350195029404228</v>
      </c>
      <c r="W166" s="170">
        <v>264.5484171870099</v>
      </c>
      <c r="AA166" s="169">
        <v>2.137015027531647E7</v>
      </c>
    </row>
    <row r="167">
      <c r="A167" s="163">
        <v>4.899014219845882</v>
      </c>
      <c r="B167" s="163"/>
      <c r="C167" s="163">
        <v>3.825457967857135</v>
      </c>
      <c r="D167" s="163">
        <v>33.032086578069574</v>
      </c>
      <c r="E167" s="163">
        <v>1.9892798499912319</v>
      </c>
      <c r="F167" s="163">
        <v>5.673185442290601</v>
      </c>
      <c r="G167" s="163">
        <v>4.5692673615303345</v>
      </c>
      <c r="H167" s="163">
        <v>2.704520171555852</v>
      </c>
      <c r="I167" s="163">
        <v>9.635703873548893</v>
      </c>
      <c r="J167" s="163"/>
      <c r="K167" s="163"/>
      <c r="L167" s="163">
        <v>1.669913036075304</v>
      </c>
      <c r="W167" s="170">
        <v>664.4443769780889</v>
      </c>
      <c r="AA167" s="169">
        <v>7339568.574673159</v>
      </c>
    </row>
    <row r="168">
      <c r="A168" s="170">
        <v>204.12269798054575</v>
      </c>
      <c r="B168" s="170"/>
      <c r="C168" s="170">
        <v>261.4066102417952</v>
      </c>
      <c r="D168" s="170">
        <v>30.273594664889043</v>
      </c>
      <c r="E168" s="170">
        <v>502.69448011772084</v>
      </c>
      <c r="F168" s="170">
        <v>176.26781464704612</v>
      </c>
      <c r="G168" s="170">
        <v>218.85346618567775</v>
      </c>
      <c r="H168" s="170">
        <v>369.7513557182018</v>
      </c>
      <c r="I168" s="170">
        <v>103.7806903494735</v>
      </c>
      <c r="J168" s="170"/>
      <c r="K168" s="170"/>
      <c r="L168" s="170">
        <v>598.8335789929754</v>
      </c>
      <c r="W168" s="170">
        <v>325.45354152007286</v>
      </c>
      <c r="AA168" s="169">
        <v>1.8158471576871153E7</v>
      </c>
    </row>
    <row r="169">
      <c r="A169" s="169">
        <v>1.776102392585968E7</v>
      </c>
      <c r="B169" s="169"/>
      <c r="C169" s="169">
        <v>1.411071237628463E7</v>
      </c>
      <c r="D169" s="169">
        <v>2.473843265634973E7</v>
      </c>
      <c r="E169" s="169">
        <v>8656714.749508975</v>
      </c>
      <c r="F169" s="169">
        <v>2.1689601736940946E7</v>
      </c>
      <c r="G169" s="169">
        <v>1.6802259818124443E7</v>
      </c>
      <c r="H169" s="169">
        <v>1.1357039895366278E7</v>
      </c>
      <c r="I169" s="169">
        <v>2.2975359707344525E7</v>
      </c>
      <c r="J169" s="169"/>
      <c r="K169" s="169"/>
      <c r="L169" s="169">
        <v>3135454.157421171</v>
      </c>
      <c r="W169" s="170">
        <v>66.70994161974012</v>
      </c>
      <c r="AA169" s="169">
        <v>6.534072641191641E7</v>
      </c>
    </row>
    <row r="170">
      <c r="A170" s="167">
        <v>0.4468784938988208</v>
      </c>
      <c r="B170" s="167"/>
      <c r="C170" s="167">
        <v>0.44297742535274615</v>
      </c>
      <c r="D170" s="167">
        <v>0.49306292852590383</v>
      </c>
      <c r="E170" s="167">
        <v>0.440987382519239</v>
      </c>
      <c r="F170" s="167">
        <v>0.6011235726823387</v>
      </c>
      <c r="G170" s="167">
        <v>0.5948279252345701</v>
      </c>
      <c r="H170" s="167">
        <v>0.44297742535274615</v>
      </c>
      <c r="I170" s="167">
        <v>0.45437708414744304</v>
      </c>
      <c r="J170" s="167"/>
      <c r="K170" s="167"/>
      <c r="L170" s="167">
        <v>0.4392239928474839</v>
      </c>
      <c r="W170" s="170">
        <v>103.7806903494735</v>
      </c>
      <c r="AA170" s="169">
        <v>5.4921748407519445E7</v>
      </c>
    </row>
    <row r="171">
      <c r="A171" s="167">
        <v>0.08370285818916198</v>
      </c>
      <c r="B171" s="167"/>
      <c r="C171" s="167">
        <v>0.05359639237392374</v>
      </c>
      <c r="D171" s="167">
        <v>0.3972491331821035</v>
      </c>
      <c r="E171" s="167">
        <v>0.02576695609922954</v>
      </c>
      <c r="F171" s="167">
        <v>0.09637419087429697</v>
      </c>
      <c r="G171" s="167">
        <v>0.0598289193234559</v>
      </c>
      <c r="H171" s="167">
        <v>0.03790519819589184</v>
      </c>
      <c r="I171" s="167">
        <v>0.17022585911387897</v>
      </c>
      <c r="J171" s="167"/>
      <c r="K171" s="167"/>
      <c r="L171" s="167">
        <v>0.007673705973976021</v>
      </c>
      <c r="W171" s="170">
        <v>204.12269798054575</v>
      </c>
      <c r="AA171" s="169">
        <v>3.0905037447475124E7</v>
      </c>
    </row>
    <row r="172">
      <c r="A172" s="167">
        <v>0.003885104899600167</v>
      </c>
      <c r="B172" s="167"/>
      <c r="C172" s="167">
        <v>0.0038587161489959795</v>
      </c>
      <c r="D172" s="212">
        <v>0.0037555283488985482</v>
      </c>
      <c r="E172" s="212">
        <v>0.0031267345394097226</v>
      </c>
      <c r="F172" s="167">
        <v>0.009038952075156455</v>
      </c>
      <c r="G172" s="167">
        <v>0.0090733794264188</v>
      </c>
      <c r="H172" s="167">
        <v>0.00361568264320617</v>
      </c>
      <c r="I172" s="167">
        <v>0.003866582610203988</v>
      </c>
      <c r="J172" s="167"/>
      <c r="K172" s="167"/>
      <c r="L172" s="167">
        <v>0.0022727124565196165</v>
      </c>
      <c r="W172" s="170">
        <v>143.31098521921624</v>
      </c>
      <c r="AA172" s="169">
        <v>4.155059394605154E7</v>
      </c>
    </row>
    <row r="173">
      <c r="A173" s="167">
        <v>0.7962268605740696</v>
      </c>
      <c r="B173" s="167"/>
      <c r="C173" s="167">
        <v>0.9050246318448036</v>
      </c>
      <c r="D173" s="167">
        <v>0.5223279839142947</v>
      </c>
      <c r="E173" s="167">
        <v>0.9123907969920995</v>
      </c>
      <c r="F173" s="167">
        <v>0.8163805876560372</v>
      </c>
      <c r="G173" s="167">
        <v>0.9173272497653121</v>
      </c>
      <c r="H173" s="167">
        <v>0.8755915658096398</v>
      </c>
      <c r="I173" s="167">
        <v>0.6912251553540351</v>
      </c>
      <c r="J173" s="167"/>
      <c r="K173" s="167"/>
      <c r="L173" s="167">
        <v>0.9292015687812977</v>
      </c>
      <c r="W173" s="170">
        <v>369.7513557182018</v>
      </c>
      <c r="AA173" s="169">
        <v>1.5685728247187471E7</v>
      </c>
    </row>
    <row r="174">
      <c r="A174" s="211">
        <v>0.002492718063028821</v>
      </c>
      <c r="B174" s="211"/>
      <c r="C174" s="211">
        <v>0.0031375613064217726</v>
      </c>
      <c r="D174" s="211">
        <v>0.0017896536038839817</v>
      </c>
      <c r="E174" s="211">
        <v>0.005114321822881913</v>
      </c>
      <c r="F174" s="211">
        <v>0.002041218907328894</v>
      </c>
      <c r="G174" s="211">
        <v>0.0026349565854302736</v>
      </c>
      <c r="H174" s="211">
        <v>0.003898306738883708</v>
      </c>
      <c r="I174" s="211">
        <v>0.001926987247286695</v>
      </c>
      <c r="J174" s="211"/>
      <c r="K174" s="211"/>
      <c r="L174" s="211">
        <v>0.014120195332178303</v>
      </c>
      <c r="W174" s="170">
        <v>502.69448011772084</v>
      </c>
      <c r="AA174" s="169">
        <v>1.0942399634148672E7</v>
      </c>
    </row>
    <row r="175">
      <c r="A175" s="171"/>
      <c r="B175" s="170"/>
      <c r="C175" s="170"/>
      <c r="D175" s="170"/>
      <c r="E175" s="170"/>
      <c r="F175" s="170"/>
      <c r="G175" s="170"/>
      <c r="K175" s="14"/>
      <c r="W175" s="170">
        <v>325.45354152007286</v>
      </c>
      <c r="AA175" s="169">
        <v>1.8158471576871153E7</v>
      </c>
    </row>
    <row r="176">
      <c r="A176" s="171"/>
      <c r="B176" s="170"/>
      <c r="C176" s="170"/>
      <c r="D176" s="170"/>
      <c r="E176" s="170"/>
      <c r="F176" s="170"/>
      <c r="G176" s="170"/>
      <c r="K176" s="14"/>
      <c r="W176" s="170"/>
      <c r="AA176" s="169"/>
    </row>
    <row r="177">
      <c r="A177" s="171"/>
      <c r="B177" s="170"/>
      <c r="C177" s="170"/>
      <c r="D177" s="170"/>
      <c r="E177" s="170"/>
      <c r="F177" s="170"/>
      <c r="G177" s="170"/>
      <c r="K177" s="14"/>
    </row>
    <row r="178">
      <c r="A178" s="171"/>
      <c r="B178" s="170"/>
      <c r="C178" s="170"/>
      <c r="D178" s="170"/>
      <c r="E178" s="170"/>
      <c r="F178" s="170"/>
      <c r="G178" s="170"/>
      <c r="K178" s="14"/>
    </row>
    <row r="179">
      <c r="A179" s="171" t="s">
        <v>229</v>
      </c>
      <c r="B179" s="170"/>
      <c r="C179" s="170"/>
      <c r="D179" s="170"/>
      <c r="E179" s="170"/>
      <c r="F179" s="170"/>
      <c r="G179" s="170"/>
      <c r="K179" s="14"/>
    </row>
    <row r="181">
      <c r="A181" s="171">
        <v>1.0</v>
      </c>
      <c r="C181" s="43">
        <v>8.0</v>
      </c>
      <c r="D181" s="43">
        <v>6.0</v>
      </c>
      <c r="E181" s="43">
        <v>8.0</v>
      </c>
      <c r="F181" s="43">
        <v>8.0</v>
      </c>
      <c r="G181" s="43">
        <v>8.0</v>
      </c>
      <c r="H181" s="43">
        <v>2.0</v>
      </c>
      <c r="I181" s="43">
        <v>4.0</v>
      </c>
      <c r="J181" s="43">
        <v>8.0</v>
      </c>
      <c r="L181" s="31">
        <v>4.0</v>
      </c>
      <c r="O181" s="14"/>
    </row>
    <row r="182">
      <c r="A182" s="171">
        <v>4096.0</v>
      </c>
      <c r="C182" s="43">
        <v>1024.0</v>
      </c>
      <c r="D182" s="43">
        <v>8192.0</v>
      </c>
      <c r="E182" s="43">
        <v>1024.0</v>
      </c>
      <c r="F182" s="43">
        <v>1024.0</v>
      </c>
      <c r="G182" s="43">
        <v>1024.0</v>
      </c>
      <c r="H182" s="43">
        <v>8192.0</v>
      </c>
      <c r="I182" s="43">
        <v>8192.0</v>
      </c>
      <c r="J182" s="43">
        <v>1024.0</v>
      </c>
      <c r="L182" s="171">
        <v>8192.0</v>
      </c>
      <c r="P182" s="14"/>
    </row>
    <row r="183">
      <c r="A183" s="171">
        <v>4.0</v>
      </c>
      <c r="C183" s="43">
        <v>6.0</v>
      </c>
      <c r="D183" s="43">
        <v>6.0</v>
      </c>
      <c r="E183" s="43">
        <v>6.0</v>
      </c>
      <c r="F183" s="43">
        <v>4.0</v>
      </c>
      <c r="G183" s="43">
        <v>8.0</v>
      </c>
      <c r="H183" s="43">
        <v>4.0</v>
      </c>
      <c r="I183" s="43">
        <v>4.0</v>
      </c>
      <c r="J183" s="43">
        <v>16.0</v>
      </c>
      <c r="L183" s="171">
        <v>4.0</v>
      </c>
      <c r="P183" s="14"/>
    </row>
    <row r="184">
      <c r="A184" s="171">
        <v>512.0</v>
      </c>
      <c r="C184" s="43">
        <v>256.0</v>
      </c>
      <c r="D184" s="43">
        <v>512.0</v>
      </c>
      <c r="E184" s="43">
        <v>128.0</v>
      </c>
      <c r="F184" s="43">
        <v>32.0</v>
      </c>
      <c r="G184" s="43">
        <v>256.0</v>
      </c>
      <c r="H184" s="43">
        <v>8192.0</v>
      </c>
      <c r="I184" s="43">
        <v>256.0</v>
      </c>
      <c r="J184" s="43">
        <v>16.0</v>
      </c>
      <c r="L184" s="171">
        <v>1024.0</v>
      </c>
      <c r="P184" s="4"/>
    </row>
    <row r="185">
      <c r="A185" s="170">
        <v>27.674836082412497</v>
      </c>
      <c r="B185" s="57"/>
      <c r="C185" s="57">
        <v>1.0556559971816126</v>
      </c>
      <c r="D185" s="57">
        <v>10.600209800264683</v>
      </c>
      <c r="E185" s="57">
        <v>1.0478821114483494</v>
      </c>
      <c r="F185" s="57">
        <v>1.0425045740591987</v>
      </c>
      <c r="G185" s="57">
        <v>1.0553032007041265</v>
      </c>
      <c r="H185" s="57">
        <v>30.16794585085305</v>
      </c>
      <c r="I185" s="57">
        <v>15.022112906293007</v>
      </c>
      <c r="J185" s="57">
        <v>1.0410634744370215</v>
      </c>
      <c r="L185" s="170">
        <v>15.112208590332996</v>
      </c>
      <c r="N185" s="14"/>
    </row>
    <row r="186">
      <c r="A186" s="163">
        <v>5.13645628148234</v>
      </c>
      <c r="B186" s="14"/>
      <c r="C186" s="14">
        <v>2.947587689070757</v>
      </c>
      <c r="D186" s="14">
        <v>4.301815571830907</v>
      </c>
      <c r="E186" s="14">
        <v>2.0607690809384183</v>
      </c>
      <c r="F186" s="14">
        <v>1.8478480993773991</v>
      </c>
      <c r="G186" s="14">
        <v>2.594791211584688</v>
      </c>
      <c r="H186" s="14">
        <v>39.872823281253005</v>
      </c>
      <c r="I186" s="14">
        <v>3.7474059488398663</v>
      </c>
      <c r="J186" s="14">
        <v>1.2674608913664323</v>
      </c>
      <c r="L186" s="163">
        <v>7.484325710154415</v>
      </c>
      <c r="N186" s="57"/>
    </row>
    <row r="187">
      <c r="A187" s="170">
        <v>194.68675390174025</v>
      </c>
      <c r="B187" s="57"/>
      <c r="C187" s="57">
        <v>339.2604751702079</v>
      </c>
      <c r="D187" s="57">
        <v>232.45998888194723</v>
      </c>
      <c r="E187" s="57">
        <v>485.2557277036722</v>
      </c>
      <c r="F187" s="57">
        <v>541.1700238439149</v>
      </c>
      <c r="G187" s="57">
        <v>385.38746221098893</v>
      </c>
      <c r="H187" s="57">
        <v>25.079738972739605</v>
      </c>
      <c r="I187" s="57">
        <v>266.85126021897446</v>
      </c>
      <c r="J187" s="56">
        <v>588.978979005746</v>
      </c>
      <c r="L187" s="170">
        <v>133.6125709552221</v>
      </c>
      <c r="N187" s="57"/>
    </row>
    <row r="188">
      <c r="A188" s="169">
        <v>1.5357096498267608E7</v>
      </c>
      <c r="B188" s="4"/>
      <c r="C188" s="4">
        <v>9313351.083569515</v>
      </c>
      <c r="D188" s="4">
        <v>1.2376966075557875E7</v>
      </c>
      <c r="E188" s="4">
        <v>6872259.871494333</v>
      </c>
      <c r="F188" s="4">
        <v>3011152.0135962325</v>
      </c>
      <c r="G188" s="4">
        <v>8061670.903584418</v>
      </c>
      <c r="H188" s="4">
        <v>2.6840995380903818E7</v>
      </c>
      <c r="I188" s="4">
        <v>1.0927899441675756E7</v>
      </c>
      <c r="J188" s="4">
        <v>564447.2115921036</v>
      </c>
      <c r="L188" s="169">
        <v>1.9666220024435606E7</v>
      </c>
    </row>
    <row r="189">
      <c r="A189" s="167">
        <v>0.5854325734683465</v>
      </c>
      <c r="B189" s="149"/>
      <c r="C189" s="149">
        <v>0.48484901210759357</v>
      </c>
      <c r="D189" s="149">
        <v>0.5074832917591324</v>
      </c>
      <c r="E189" s="149">
        <v>0.4840317486300157</v>
      </c>
      <c r="F189" s="149">
        <v>0.48341652302914734</v>
      </c>
      <c r="G189" s="149">
        <v>0.48484901210759357</v>
      </c>
      <c r="H189" s="149">
        <v>0.5690222638314755</v>
      </c>
      <c r="I189" s="149">
        <v>0.5359524974872819</v>
      </c>
      <c r="J189" s="149">
        <v>0.4833137954215931</v>
      </c>
      <c r="L189" s="167">
        <v>0.5362144708977414</v>
      </c>
      <c r="M189" s="15"/>
    </row>
    <row r="190">
      <c r="A190" s="167">
        <v>0.06147719224746327</v>
      </c>
      <c r="B190" s="149"/>
      <c r="C190" s="149">
        <v>0.035709982036975445</v>
      </c>
      <c r="D190" s="149">
        <v>0.04893668808973484</v>
      </c>
      <c r="E190" s="149">
        <v>0.025538597313677414</v>
      </c>
      <c r="F190" s="149">
        <v>0.010680494733095723</v>
      </c>
      <c r="G190" s="149">
        <v>0.03042392282638903</v>
      </c>
      <c r="H190" s="149">
        <v>0.12671283718636417</v>
      </c>
      <c r="I190" s="149">
        <v>0.042132466377860486</v>
      </c>
      <c r="J190" s="149">
        <v>0.001946404424329438</v>
      </c>
      <c r="L190" s="167">
        <v>0.08438299521330293</v>
      </c>
      <c r="M190" s="15"/>
    </row>
    <row r="191">
      <c r="A191" s="167">
        <v>4.1576775761525714E-4</v>
      </c>
      <c r="B191" s="149"/>
      <c r="C191" s="149">
        <v>8.185179910415389E-4</v>
      </c>
      <c r="D191" s="149">
        <v>3.4757247975150473E-4</v>
      </c>
      <c r="E191" s="149">
        <v>7.72542354517723E-4</v>
      </c>
      <c r="F191" s="149">
        <v>8.935822119888672E-4</v>
      </c>
      <c r="G191" s="149">
        <v>7.990630861767955E-4</v>
      </c>
      <c r="H191" s="149">
        <v>3.0867392878615777E-4</v>
      </c>
      <c r="I191" s="149">
        <v>3.338969106381852E-4</v>
      </c>
      <c r="J191" s="149">
        <v>9.080770289474351E-4</v>
      </c>
      <c r="L191" s="167">
        <v>3.389564188838265E-4</v>
      </c>
      <c r="M191" s="4"/>
    </row>
    <row r="192">
      <c r="A192" s="167">
        <v>0.9282304486011435</v>
      </c>
      <c r="B192" s="149"/>
      <c r="C192" s="149">
        <v>0.9409371267815094</v>
      </c>
      <c r="D192" s="149">
        <v>0.9185407056351603</v>
      </c>
      <c r="E192" s="149">
        <v>0.9409067578852898</v>
      </c>
      <c r="F192" s="149">
        <v>0.9621817644171402</v>
      </c>
      <c r="G192" s="149">
        <v>0.9354207654189411</v>
      </c>
      <c r="H192" s="149">
        <v>0.6301612205954994</v>
      </c>
      <c r="I192" s="149">
        <v>0.9500186816207303</v>
      </c>
      <c r="J192" s="149">
        <v>0.908731814757994</v>
      </c>
      <c r="L192" s="167">
        <v>0.8982346769335068</v>
      </c>
      <c r="M192" s="4"/>
      <c r="N192" s="4"/>
    </row>
    <row r="193">
      <c r="A193" s="211">
        <v>0.018913443483712784</v>
      </c>
      <c r="B193" s="70"/>
      <c r="C193" s="70">
        <v>0.031187010356167676</v>
      </c>
      <c r="D193" s="70">
        <v>0.023467429329672454</v>
      </c>
      <c r="E193" s="70">
        <v>0.04226492916816168</v>
      </c>
      <c r="F193" s="70">
        <v>0.09645995133504254</v>
      </c>
      <c r="G193" s="70">
        <v>0.03602920289945899</v>
      </c>
      <c r="H193" s="70">
        <v>0.010821341480523265</v>
      </c>
      <c r="I193" s="70">
        <v>0.026579268801302913</v>
      </c>
      <c r="J193" s="70">
        <v>0.5145841289119609</v>
      </c>
      <c r="L193" s="211">
        <v>0.01476926304765288</v>
      </c>
    </row>
    <row r="194">
      <c r="Q194" s="57"/>
    </row>
    <row r="195">
      <c r="A195" s="171"/>
      <c r="B195" s="204"/>
      <c r="C195" s="164"/>
      <c r="D195" s="169"/>
      <c r="E195" s="169"/>
      <c r="M195" s="14"/>
      <c r="O195" s="171"/>
      <c r="P195" s="171"/>
      <c r="Q195" s="171"/>
      <c r="R195" s="171"/>
    </row>
    <row r="196">
      <c r="A196" s="171"/>
      <c r="B196" s="204"/>
      <c r="C196" s="164"/>
      <c r="D196" s="169"/>
      <c r="E196" s="169"/>
      <c r="I196" s="56"/>
    </row>
    <row r="197">
      <c r="A197" s="171"/>
      <c r="B197" s="204"/>
      <c r="C197" s="164"/>
      <c r="D197" s="169"/>
      <c r="E197" s="169"/>
      <c r="I197" s="14"/>
    </row>
    <row r="198">
      <c r="A198" s="171"/>
      <c r="B198" s="204"/>
      <c r="C198" s="164"/>
      <c r="D198" s="169"/>
      <c r="E198" s="169"/>
      <c r="I198" s="14"/>
    </row>
    <row r="199">
      <c r="A199" s="171" t="s">
        <v>230</v>
      </c>
      <c r="B199" s="170"/>
      <c r="C199" s="170"/>
      <c r="D199" s="170"/>
      <c r="E199" s="170"/>
      <c r="F199" s="170"/>
      <c r="G199" s="170"/>
    </row>
    <row r="200">
      <c r="A200" s="171"/>
      <c r="B200" s="170"/>
      <c r="C200" s="170"/>
      <c r="D200" s="170"/>
      <c r="E200" s="170"/>
      <c r="F200" s="170"/>
      <c r="G200" s="170"/>
    </row>
    <row r="201">
      <c r="A201" s="171">
        <v>4.0</v>
      </c>
      <c r="B201" s="171">
        <v>4.0</v>
      </c>
      <c r="C201" s="31">
        <v>1.0</v>
      </c>
      <c r="D201" s="31">
        <v>1.0</v>
      </c>
      <c r="E201" s="31">
        <v>1.0</v>
      </c>
      <c r="F201" s="171">
        <v>4.0</v>
      </c>
      <c r="G201" s="31">
        <v>1.0</v>
      </c>
      <c r="H201" s="31">
        <v>1.0</v>
      </c>
      <c r="I201" s="31">
        <v>1.0</v>
      </c>
      <c r="J201" s="31"/>
      <c r="K201" s="31"/>
      <c r="L201" s="31">
        <v>1.0</v>
      </c>
    </row>
    <row r="202">
      <c r="A202" s="171">
        <v>1024.0</v>
      </c>
      <c r="B202" s="171">
        <v>1024.0</v>
      </c>
      <c r="C202" s="171">
        <v>4096.0</v>
      </c>
      <c r="D202" s="171">
        <v>4096.0</v>
      </c>
      <c r="E202" s="171">
        <v>4096.0</v>
      </c>
      <c r="F202" s="171">
        <v>1024.0</v>
      </c>
      <c r="G202" s="171">
        <v>4096.0</v>
      </c>
      <c r="H202" s="171">
        <v>4096.0</v>
      </c>
      <c r="I202" s="171">
        <v>4096.0</v>
      </c>
      <c r="J202" s="171"/>
      <c r="K202" s="171"/>
      <c r="L202" s="171">
        <v>4096.0</v>
      </c>
    </row>
    <row r="203">
      <c r="A203" s="171">
        <v>8.0</v>
      </c>
      <c r="B203" s="171">
        <v>8.0</v>
      </c>
      <c r="C203" s="171">
        <v>6.0</v>
      </c>
      <c r="D203" s="171">
        <v>1.0</v>
      </c>
      <c r="E203" s="171">
        <v>2.0</v>
      </c>
      <c r="F203" s="171">
        <v>4.0</v>
      </c>
      <c r="G203" s="171">
        <v>4.0</v>
      </c>
      <c r="H203" s="171">
        <v>8.0</v>
      </c>
      <c r="I203" s="171">
        <v>8.0</v>
      </c>
      <c r="J203" s="171"/>
      <c r="K203" s="171"/>
      <c r="L203" s="171">
        <v>6.0</v>
      </c>
    </row>
    <row r="204">
      <c r="A204" s="171">
        <v>1024.0</v>
      </c>
      <c r="B204" s="171">
        <v>128.0</v>
      </c>
      <c r="C204" s="171">
        <v>512.0</v>
      </c>
      <c r="D204" s="171">
        <v>2048.0</v>
      </c>
      <c r="E204" s="171">
        <v>2048.0</v>
      </c>
      <c r="F204" s="171">
        <v>1024.0</v>
      </c>
      <c r="G204" s="171">
        <v>2048.0</v>
      </c>
      <c r="H204" s="171">
        <v>512.0</v>
      </c>
      <c r="I204" s="171">
        <v>256.0</v>
      </c>
      <c r="J204" s="171"/>
      <c r="K204" s="171"/>
      <c r="L204" s="171">
        <v>512.0</v>
      </c>
    </row>
    <row r="205">
      <c r="A205" s="170">
        <v>1.0688420615381242</v>
      </c>
      <c r="B205" s="170">
        <v>1.034427720010872</v>
      </c>
      <c r="C205" s="170">
        <v>14.926729063943869</v>
      </c>
      <c r="D205" s="170">
        <v>15.16893581275144</v>
      </c>
      <c r="E205" s="170">
        <v>15.163581247173097</v>
      </c>
      <c r="F205" s="170">
        <v>1.0699610493619207</v>
      </c>
      <c r="G205" s="170">
        <v>15.160923375448775</v>
      </c>
      <c r="H205" s="170">
        <v>14.926360948938896</v>
      </c>
      <c r="I205" s="170">
        <v>14.88726420053328</v>
      </c>
      <c r="J205" s="170"/>
      <c r="K205" s="170"/>
      <c r="L205" s="170">
        <v>14.926729063943869</v>
      </c>
      <c r="M205" s="171"/>
      <c r="N205" s="171"/>
    </row>
    <row r="206">
      <c r="A206" s="163">
        <v>3.7800263960494527</v>
      </c>
      <c r="B206" s="163">
        <v>1.50501687522442</v>
      </c>
      <c r="C206" s="163">
        <v>3.0726351765274105</v>
      </c>
      <c r="D206" s="163">
        <v>14.990269451893663</v>
      </c>
      <c r="E206" s="163">
        <v>9.635703873548893</v>
      </c>
      <c r="F206" s="163">
        <v>4.899014219845882</v>
      </c>
      <c r="G206" s="163">
        <v>6.977832149226704</v>
      </c>
      <c r="H206" s="163">
        <v>2.704520171555852</v>
      </c>
      <c r="I206" s="163">
        <v>1.9892798499912319</v>
      </c>
      <c r="J206" s="163"/>
      <c r="K206" s="163"/>
      <c r="L206" s="163">
        <v>3.0726351765274105</v>
      </c>
      <c r="M206" s="57"/>
      <c r="N206" s="213"/>
    </row>
    <row r="207">
      <c r="A207" s="170">
        <v>264.5484171870099</v>
      </c>
      <c r="B207" s="170">
        <v>664.4443769780889</v>
      </c>
      <c r="C207" s="170">
        <v>325.45354152007286</v>
      </c>
      <c r="D207" s="170">
        <v>66.70994161974012</v>
      </c>
      <c r="E207" s="170">
        <v>103.7806903494735</v>
      </c>
      <c r="F207" s="170">
        <v>204.12269798054575</v>
      </c>
      <c r="G207" s="170">
        <v>143.31098521921624</v>
      </c>
      <c r="H207" s="170">
        <v>369.7513557182018</v>
      </c>
      <c r="I207" s="170">
        <v>502.69448011772084</v>
      </c>
      <c r="J207" s="170"/>
      <c r="K207" s="170"/>
      <c r="L207" s="170">
        <v>325.45354152007286</v>
      </c>
      <c r="M207" s="57"/>
      <c r="N207" s="213"/>
    </row>
    <row r="208">
      <c r="A208" s="169">
        <v>2.137015027531647E7</v>
      </c>
      <c r="B208" s="169">
        <v>7339568.574673159</v>
      </c>
      <c r="C208" s="169">
        <v>1.8158471576871153E7</v>
      </c>
      <c r="D208" s="169">
        <v>6.534072641191641E7</v>
      </c>
      <c r="E208" s="169">
        <v>5.4921748407519445E7</v>
      </c>
      <c r="F208" s="169">
        <v>3.0905037447475124E7</v>
      </c>
      <c r="G208" s="169">
        <v>4.155059394605154E7</v>
      </c>
      <c r="H208" s="169">
        <v>1.5685728247187471E7</v>
      </c>
      <c r="I208" s="169">
        <v>1.0942399634148672E7</v>
      </c>
      <c r="J208" s="169"/>
      <c r="K208" s="169"/>
      <c r="L208" s="169">
        <v>1.8158471576871153E7</v>
      </c>
      <c r="M208" s="57"/>
      <c r="N208" s="213"/>
    </row>
    <row r="209">
      <c r="A209" s="167">
        <v>0.6899146840148157</v>
      </c>
      <c r="B209" s="167">
        <v>0.6853707394999552</v>
      </c>
      <c r="C209" s="167">
        <v>0.7589936155643275</v>
      </c>
      <c r="D209" s="167">
        <v>0.7596167168506401</v>
      </c>
      <c r="E209" s="167">
        <v>0.7596167168506401</v>
      </c>
      <c r="F209" s="167">
        <v>0.6899146840148157</v>
      </c>
      <c r="G209" s="167">
        <v>0.7596167168506401</v>
      </c>
      <c r="H209" s="167">
        <v>0.7589936155643275</v>
      </c>
      <c r="I209" s="167">
        <v>0.7588878907478088</v>
      </c>
      <c r="J209" s="167"/>
      <c r="K209" s="167"/>
      <c r="L209" s="167">
        <v>0.7589936155643275</v>
      </c>
      <c r="M209" s="57"/>
      <c r="N209" s="213"/>
    </row>
    <row r="210">
      <c r="A210" s="167">
        <v>0.054240559396490945</v>
      </c>
      <c r="B210" s="167">
        <v>0.017028940807113115</v>
      </c>
      <c r="C210" s="167">
        <v>0.044485321659510704</v>
      </c>
      <c r="D210" s="167">
        <v>0.21884142580700383</v>
      </c>
      <c r="E210" s="167">
        <v>0.17022585911387897</v>
      </c>
      <c r="F210" s="167">
        <v>0.08370285818916198</v>
      </c>
      <c r="G210" s="167">
        <v>0.11753263298426911</v>
      </c>
      <c r="H210" s="167">
        <v>0.03790519819589184</v>
      </c>
      <c r="I210" s="167">
        <v>0.02576695609922954</v>
      </c>
      <c r="J210" s="167"/>
      <c r="K210" s="167"/>
      <c r="L210" s="167">
        <v>0.044485321659510704</v>
      </c>
      <c r="M210" s="57"/>
      <c r="N210" s="213"/>
    </row>
    <row r="211">
      <c r="A211" s="167">
        <v>8.287911637615754E-4</v>
      </c>
      <c r="B211" s="167">
        <v>6.136656009459754E-4</v>
      </c>
      <c r="C211" s="167">
        <v>4.272541310565842E-4</v>
      </c>
      <c r="D211" s="212">
        <v>4.427631836510795E-4</v>
      </c>
      <c r="E211" s="212">
        <v>4.4276318365107735E-4</v>
      </c>
      <c r="F211" s="167">
        <v>8.350892311268299E-4</v>
      </c>
      <c r="G211" s="167">
        <v>4.427631601032609E-4</v>
      </c>
      <c r="H211" s="167">
        <v>4.097311782562659E-4</v>
      </c>
      <c r="I211" s="167">
        <v>3.473155871713846E-4</v>
      </c>
      <c r="J211" s="167"/>
      <c r="K211" s="167"/>
      <c r="L211" s="167">
        <v>4.272541310565842E-4</v>
      </c>
      <c r="M211" s="57"/>
      <c r="N211" s="213"/>
    </row>
    <row r="212">
      <c r="A212" s="167">
        <v>0.7553180928048558</v>
      </c>
      <c r="B212" s="167">
        <v>0.901186016589739</v>
      </c>
      <c r="C212" s="167">
        <v>0.8875252477837948</v>
      </c>
      <c r="D212" s="167">
        <v>0.7699779396688371</v>
      </c>
      <c r="E212" s="167">
        <v>0.6912251553540351</v>
      </c>
      <c r="F212" s="167">
        <v>0.7962268605740696</v>
      </c>
      <c r="G212" s="167">
        <v>0.6274500864234965</v>
      </c>
      <c r="H212" s="167">
        <v>0.8755915658096398</v>
      </c>
      <c r="I212" s="167">
        <v>0.9123907969920995</v>
      </c>
      <c r="J212" s="167"/>
      <c r="K212" s="167"/>
      <c r="L212" s="167">
        <v>0.8875252477837948</v>
      </c>
    </row>
    <row r="213">
      <c r="A213" s="211">
        <v>0.013591648769517439</v>
      </c>
      <c r="B213" s="211">
        <v>0.03957393050269883</v>
      </c>
      <c r="C213" s="211">
        <v>0.015995596075600745</v>
      </c>
      <c r="D213" s="211">
        <v>0.0044452456016916345</v>
      </c>
      <c r="E213" s="211">
        <v>0.005288534781134919</v>
      </c>
      <c r="F213" s="211">
        <v>0.009398324696663244</v>
      </c>
      <c r="G213" s="211">
        <v>0.006990407334995731</v>
      </c>
      <c r="H213" s="211">
        <v>0.018517187861264144</v>
      </c>
      <c r="I213" s="211">
        <v>0.026544047595142103</v>
      </c>
      <c r="J213" s="211"/>
      <c r="K213" s="211"/>
      <c r="L213" s="211">
        <v>0.015995596075600745</v>
      </c>
    </row>
    <row r="214">
      <c r="A214" s="16"/>
      <c r="B214" s="16"/>
      <c r="C214" s="16"/>
      <c r="D214" s="16"/>
      <c r="E214" s="16"/>
      <c r="H214" s="57"/>
      <c r="I214" s="57"/>
      <c r="L214" s="57"/>
    </row>
    <row r="215">
      <c r="A215" s="171"/>
      <c r="B215" s="31"/>
      <c r="C215" s="31"/>
      <c r="D215" s="31"/>
      <c r="E215" s="31"/>
      <c r="H215" s="213"/>
      <c r="I215" s="213"/>
      <c r="K215" s="171"/>
      <c r="L215" s="171"/>
      <c r="M215" s="171"/>
      <c r="N215" s="171"/>
    </row>
    <row r="216">
      <c r="A216" s="16"/>
      <c r="B216" s="204"/>
      <c r="C216" s="164"/>
      <c r="D216" s="169"/>
      <c r="E216" s="169"/>
      <c r="H216" s="57"/>
      <c r="I216" s="57"/>
    </row>
    <row r="217">
      <c r="A217" s="16"/>
      <c r="B217" s="204"/>
      <c r="C217" s="164"/>
      <c r="D217" s="169"/>
      <c r="E217" s="169"/>
      <c r="H217" s="213"/>
      <c r="I217" s="213"/>
    </row>
    <row r="218">
      <c r="A218" s="16"/>
      <c r="B218" s="204"/>
      <c r="C218" s="164"/>
      <c r="D218" s="169"/>
      <c r="E218" s="169"/>
      <c r="H218" s="213"/>
    </row>
    <row r="219">
      <c r="A219" s="16"/>
      <c r="B219" s="204"/>
      <c r="C219" s="164"/>
      <c r="D219" s="169"/>
      <c r="E219" s="169"/>
    </row>
    <row r="220">
      <c r="A220" s="16"/>
      <c r="B220" s="204"/>
      <c r="C220" s="164"/>
      <c r="D220" s="169"/>
      <c r="E220" s="169"/>
    </row>
    <row r="221">
      <c r="A221" s="16"/>
      <c r="B221" s="204"/>
      <c r="C221" s="164"/>
      <c r="D221" s="169"/>
      <c r="E221" s="169"/>
    </row>
    <row r="222">
      <c r="A222" s="16"/>
      <c r="B222" s="204"/>
      <c r="C222" s="164"/>
      <c r="D222" s="169"/>
      <c r="E222" s="169"/>
    </row>
    <row r="223">
      <c r="A223" s="16"/>
      <c r="B223" s="204"/>
      <c r="C223" s="164"/>
      <c r="D223" s="169"/>
      <c r="E223" s="169"/>
    </row>
    <row r="224">
      <c r="A224" s="16"/>
      <c r="B224" s="204"/>
      <c r="C224" s="164"/>
      <c r="D224" s="169"/>
      <c r="E224" s="169"/>
    </row>
    <row r="225">
      <c r="A225" s="16"/>
      <c r="B225" s="204"/>
      <c r="C225" s="164"/>
      <c r="D225" s="169"/>
      <c r="E225" s="169"/>
      <c r="L225" s="4"/>
      <c r="M225" s="57"/>
      <c r="N225" s="57"/>
    </row>
    <row r="226">
      <c r="L226" s="57"/>
    </row>
    <row r="227">
      <c r="K227" s="171"/>
      <c r="L227" s="171"/>
      <c r="M227" s="171"/>
      <c r="N227" s="171"/>
    </row>
    <row r="228">
      <c r="L228" s="4"/>
      <c r="M228" s="57"/>
      <c r="N228" s="213"/>
    </row>
    <row r="229">
      <c r="L229" s="4"/>
      <c r="M229" s="57"/>
      <c r="N229" s="213"/>
    </row>
    <row r="230">
      <c r="L230" s="4"/>
      <c r="M230" s="57"/>
      <c r="N230" s="213"/>
    </row>
    <row r="231">
      <c r="L231" s="4"/>
      <c r="M231" s="57"/>
      <c r="N231" s="213"/>
    </row>
    <row r="232">
      <c r="L232" s="4"/>
      <c r="M232" s="57"/>
      <c r="N232" s="213"/>
    </row>
    <row r="233">
      <c r="L233" s="4"/>
      <c r="M233" s="57"/>
      <c r="N233" s="213"/>
    </row>
    <row r="234">
      <c r="L234" s="4"/>
    </row>
  </sheetData>
  <mergeCells count="4">
    <mergeCell ref="P2:Q2"/>
    <mergeCell ref="E32:I32"/>
    <mergeCell ref="J32:N32"/>
    <mergeCell ref="A111:B111"/>
  </mergeCells>
  <conditionalFormatting sqref="E29">
    <cfRule type="cellIs" dxfId="8" priority="1" operator="equal">
      <formula>"FALSE"</formula>
    </cfRule>
  </conditionalFormatting>
  <conditionalFormatting sqref="B80 B102 D123">
    <cfRule type="cellIs" dxfId="9" priority="2" operator="greaterThan">
      <formula>1</formula>
    </cfRule>
  </conditionalFormatting>
  <conditionalFormatting sqref="B80 B102 D123">
    <cfRule type="cellIs" dxfId="10" priority="3" operator="greaterThan">
      <formula>0.9</formula>
    </cfRule>
  </conditionalFormatting>
  <dataValidations>
    <dataValidation type="list" allowBlank="1" showErrorMessage="1" sqref="B30">
      <formula1>Nvidia!$P$13:$P$15</formula1>
    </dataValidation>
    <dataValidation type="list" allowBlank="1" showErrorMessage="1" sqref="B2:C2">
      <formula1>Nvidia!$D$2:$M$2</formula1>
    </dataValidation>
    <dataValidation type="list" allowBlank="1" showErrorMessage="1" sqref="C116">
      <formula1>Nvidia!$I$104:$J$104</formula1>
    </dataValidation>
  </dataValidations>
  <hyperlinks>
    <hyperlink r:id="rId1" location="precision-strategy" ref="C30"/>
  </hyperlinks>
  <drawing r:id="rId2"/>
  <tableParts count="3"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/>
      <c r="B1" s="69"/>
      <c r="C1" s="59"/>
      <c r="D1" s="59"/>
      <c r="E1" s="59"/>
      <c r="F1" s="59"/>
      <c r="G1" s="59"/>
      <c r="H1" s="59"/>
      <c r="I1" s="59"/>
      <c r="J1" s="59"/>
    </row>
    <row r="2">
      <c r="A2" s="59"/>
      <c r="B2" s="69" t="s">
        <v>231</v>
      </c>
      <c r="C2" s="76" t="s">
        <v>100</v>
      </c>
      <c r="D2" s="76" t="s">
        <v>101</v>
      </c>
      <c r="E2" s="76" t="s">
        <v>102</v>
      </c>
      <c r="F2" s="76" t="s">
        <v>98</v>
      </c>
      <c r="G2" s="76" t="s">
        <v>104</v>
      </c>
      <c r="H2" s="76" t="s">
        <v>105</v>
      </c>
      <c r="I2" s="76" t="s">
        <v>99</v>
      </c>
      <c r="J2" s="214" t="s">
        <v>232</v>
      </c>
      <c r="K2" s="215" t="s">
        <v>233</v>
      </c>
      <c r="L2" s="216" t="s">
        <v>234</v>
      </c>
      <c r="M2" s="217" t="s">
        <v>235</v>
      </c>
    </row>
    <row r="3">
      <c r="A3" s="6" t="s">
        <v>236</v>
      </c>
      <c r="B3" s="59"/>
      <c r="C3" s="218"/>
      <c r="D3" s="218"/>
      <c r="E3" s="218"/>
      <c r="F3" s="218"/>
      <c r="G3" s="218"/>
      <c r="H3" s="59"/>
      <c r="I3" s="59"/>
      <c r="J3" s="59"/>
      <c r="K3" s="59"/>
    </row>
    <row r="4">
      <c r="A4" s="59" t="s">
        <v>237</v>
      </c>
      <c r="B4" s="69" t="s">
        <v>238</v>
      </c>
      <c r="C4" s="219">
        <v>0.0</v>
      </c>
      <c r="D4" s="219">
        <v>0.0</v>
      </c>
      <c r="E4" s="219">
        <v>0.0</v>
      </c>
      <c r="F4" s="219">
        <v>0.0</v>
      </c>
      <c r="G4" s="219">
        <v>0.0</v>
      </c>
      <c r="H4" s="219">
        <v>0.0</v>
      </c>
      <c r="I4" s="219">
        <v>0.0</v>
      </c>
      <c r="J4" s="219">
        <v>0.0</v>
      </c>
      <c r="K4" s="219">
        <v>0.0</v>
      </c>
      <c r="L4" s="219">
        <v>0.0</v>
      </c>
      <c r="M4" s="219">
        <v>0.0</v>
      </c>
    </row>
    <row r="5">
      <c r="A5" s="59" t="s">
        <v>239</v>
      </c>
      <c r="B5" s="69" t="s">
        <v>240</v>
      </c>
      <c r="C5" s="219">
        <f>380*4000</f>
        <v>1520000</v>
      </c>
      <c r="D5" s="219">
        <f>405*4000</f>
        <v>1620000</v>
      </c>
      <c r="E5" s="219">
        <f>515*4000</f>
        <v>2060000</v>
      </c>
      <c r="F5" s="219">
        <f>3*10^6</f>
        <v>3000000</v>
      </c>
      <c r="G5" s="219">
        <f>3.5*10^6</f>
        <v>3500000</v>
      </c>
      <c r="H5" s="219">
        <f>5*10^6</f>
        <v>5000000</v>
      </c>
      <c r="I5" s="219">
        <f>12.5*10^6</f>
        <v>12500000</v>
      </c>
      <c r="J5" s="219">
        <f>350*8000</f>
        <v>2800000</v>
      </c>
      <c r="K5" s="219">
        <f>3130*2000</f>
        <v>6260000</v>
      </c>
      <c r="L5" s="219">
        <f>800*1000</f>
        <v>800000</v>
      </c>
      <c r="M5" s="219">
        <f>3000000</f>
        <v>3000000</v>
      </c>
    </row>
    <row r="6">
      <c r="A6" s="59" t="s">
        <v>241</v>
      </c>
      <c r="B6" s="69" t="s">
        <v>242</v>
      </c>
      <c r="C6" s="9">
        <v>4.0</v>
      </c>
      <c r="D6" s="9">
        <v>4.0</v>
      </c>
      <c r="E6" s="9">
        <v>4.0</v>
      </c>
      <c r="F6" s="9">
        <v>4.0</v>
      </c>
      <c r="G6" s="9">
        <v>4.0</v>
      </c>
      <c r="H6" s="9">
        <f>F6</f>
        <v>4</v>
      </c>
      <c r="I6" s="9">
        <f t="shared" ref="I6:M6" si="1">H6</f>
        <v>4</v>
      </c>
      <c r="J6" s="9">
        <f t="shared" si="1"/>
        <v>4</v>
      </c>
      <c r="K6" s="9">
        <f t="shared" si="1"/>
        <v>4</v>
      </c>
      <c r="L6" s="9">
        <f t="shared" si="1"/>
        <v>4</v>
      </c>
      <c r="M6" s="9">
        <f t="shared" si="1"/>
        <v>4</v>
      </c>
    </row>
    <row r="7">
      <c r="A7" s="59" t="s">
        <v>243</v>
      </c>
      <c r="B7" s="69" t="s">
        <v>244</v>
      </c>
      <c r="C7" s="220">
        <v>0.15</v>
      </c>
      <c r="D7" s="221">
        <f t="shared" ref="D7:M7" si="2">C7</f>
        <v>0.15</v>
      </c>
      <c r="E7" s="221">
        <f t="shared" si="2"/>
        <v>0.15</v>
      </c>
      <c r="F7" s="221">
        <f t="shared" si="2"/>
        <v>0.15</v>
      </c>
      <c r="G7" s="221">
        <f t="shared" si="2"/>
        <v>0.15</v>
      </c>
      <c r="H7" s="221">
        <f t="shared" si="2"/>
        <v>0.15</v>
      </c>
      <c r="I7" s="221">
        <f t="shared" si="2"/>
        <v>0.15</v>
      </c>
      <c r="J7" s="221">
        <f t="shared" si="2"/>
        <v>0.15</v>
      </c>
      <c r="K7" s="221">
        <f t="shared" si="2"/>
        <v>0.15</v>
      </c>
      <c r="L7" s="221">
        <f t="shared" si="2"/>
        <v>0.15</v>
      </c>
      <c r="M7" s="221">
        <f t="shared" si="2"/>
        <v>0.15</v>
      </c>
    </row>
    <row r="8">
      <c r="A8" s="59" t="s">
        <v>245</v>
      </c>
      <c r="B8" s="69" t="s">
        <v>246</v>
      </c>
      <c r="C8" s="222">
        <f t="shared" ref="C8:G8" si="3">PMT(C7/12,C6*12,-(C4+C5))</f>
        <v>42302.73737</v>
      </c>
      <c r="D8" s="222">
        <f t="shared" si="3"/>
        <v>45085.81219</v>
      </c>
      <c r="E8" s="222">
        <f t="shared" si="3"/>
        <v>57331.34143</v>
      </c>
      <c r="F8" s="222">
        <f t="shared" si="3"/>
        <v>83492.2448</v>
      </c>
      <c r="G8" s="222">
        <f t="shared" si="3"/>
        <v>97407.61893</v>
      </c>
      <c r="H8" s="222">
        <f t="shared" ref="H8:M8" si="4">PMT(H7/12,H6*12,-H5)</f>
        <v>139153.7413</v>
      </c>
      <c r="I8" s="222">
        <f t="shared" si="4"/>
        <v>347884.3533</v>
      </c>
      <c r="J8" s="222">
        <f t="shared" si="4"/>
        <v>77926.09515</v>
      </c>
      <c r="K8" s="222">
        <f t="shared" si="4"/>
        <v>174220.4841</v>
      </c>
      <c r="L8" s="222">
        <f t="shared" si="4"/>
        <v>22264.59861</v>
      </c>
      <c r="M8" s="222">
        <f t="shared" si="4"/>
        <v>83492.2448</v>
      </c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0">
      <c r="A10" s="6" t="s">
        <v>247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>
      <c r="A11" s="59" t="s">
        <v>248</v>
      </c>
      <c r="B11" s="69" t="s">
        <v>249</v>
      </c>
      <c r="C11" s="223">
        <v>0.087</v>
      </c>
      <c r="D11" s="223">
        <v>0.087</v>
      </c>
      <c r="E11" s="223">
        <v>0.087</v>
      </c>
      <c r="F11" s="223">
        <v>0.087</v>
      </c>
      <c r="G11" s="223">
        <v>0.087</v>
      </c>
      <c r="H11" s="223">
        <v>0.087</v>
      </c>
      <c r="I11" s="223">
        <v>0.087</v>
      </c>
      <c r="J11" s="223">
        <v>0.087</v>
      </c>
      <c r="K11" s="223">
        <v>0.087</v>
      </c>
      <c r="L11" s="223">
        <v>0.087</v>
      </c>
      <c r="M11" s="223">
        <v>0.087</v>
      </c>
    </row>
    <row r="12">
      <c r="A12" s="59" t="s">
        <v>250</v>
      </c>
      <c r="B12" s="69" t="s">
        <v>244</v>
      </c>
      <c r="C12" s="221">
        <v>0.8</v>
      </c>
      <c r="D12" s="221">
        <v>0.8</v>
      </c>
      <c r="E12" s="221">
        <v>0.8</v>
      </c>
      <c r="F12" s="221">
        <v>0.8</v>
      </c>
      <c r="G12" s="221">
        <v>0.8</v>
      </c>
      <c r="H12" s="221">
        <v>0.8</v>
      </c>
      <c r="I12" s="221">
        <v>0.8</v>
      </c>
      <c r="J12" s="220">
        <v>0.8</v>
      </c>
      <c r="K12" s="220">
        <v>0.8</v>
      </c>
      <c r="L12" s="220">
        <v>0.8</v>
      </c>
      <c r="M12" s="220">
        <v>0.8</v>
      </c>
    </row>
    <row r="13">
      <c r="A13" s="59" t="s">
        <v>251</v>
      </c>
      <c r="B13" s="69" t="s">
        <v>252</v>
      </c>
      <c r="C13" s="223">
        <v>1.25</v>
      </c>
      <c r="D13" s="223">
        <v>1.25</v>
      </c>
      <c r="E13" s="223">
        <v>1.25</v>
      </c>
      <c r="F13" s="223">
        <v>1.25</v>
      </c>
      <c r="G13" s="223">
        <v>1.25</v>
      </c>
      <c r="H13" s="223">
        <v>1.25</v>
      </c>
      <c r="I13" s="223">
        <v>1.25</v>
      </c>
      <c r="J13" s="223">
        <v>1.25</v>
      </c>
      <c r="K13" s="223">
        <v>1.25</v>
      </c>
      <c r="L13" s="223">
        <v>1.25</v>
      </c>
      <c r="M13" s="223">
        <v>1.25</v>
      </c>
    </row>
    <row r="14">
      <c r="A14" s="59" t="s">
        <v>253</v>
      </c>
      <c r="B14" s="69" t="s">
        <v>254</v>
      </c>
      <c r="C14" s="222">
        <f t="shared" ref="C14:M14" si="5">C11*24*365/12*C13*C12</f>
        <v>63.51</v>
      </c>
      <c r="D14" s="222">
        <f t="shared" si="5"/>
        <v>63.51</v>
      </c>
      <c r="E14" s="222">
        <f t="shared" si="5"/>
        <v>63.51</v>
      </c>
      <c r="F14" s="222">
        <f t="shared" si="5"/>
        <v>63.51</v>
      </c>
      <c r="G14" s="222">
        <f t="shared" si="5"/>
        <v>63.51</v>
      </c>
      <c r="H14" s="222">
        <f t="shared" si="5"/>
        <v>63.51</v>
      </c>
      <c r="I14" s="222">
        <f t="shared" si="5"/>
        <v>63.51</v>
      </c>
      <c r="J14" s="222">
        <f t="shared" si="5"/>
        <v>63.51</v>
      </c>
      <c r="K14" s="222">
        <f t="shared" si="5"/>
        <v>63.51</v>
      </c>
      <c r="L14" s="222">
        <f t="shared" si="5"/>
        <v>63.51</v>
      </c>
      <c r="M14" s="222">
        <f t="shared" si="5"/>
        <v>63.51</v>
      </c>
    </row>
    <row r="15">
      <c r="A15" s="59" t="s">
        <v>255</v>
      </c>
      <c r="B15" s="69" t="s">
        <v>254</v>
      </c>
      <c r="C15" s="224">
        <f t="shared" ref="C15:M15" si="6">if(C4, 0, 120)</f>
        <v>120</v>
      </c>
      <c r="D15" s="224">
        <f t="shared" si="6"/>
        <v>120</v>
      </c>
      <c r="E15" s="224">
        <f t="shared" si="6"/>
        <v>120</v>
      </c>
      <c r="F15" s="224">
        <f t="shared" si="6"/>
        <v>120</v>
      </c>
      <c r="G15" s="224">
        <f t="shared" si="6"/>
        <v>120</v>
      </c>
      <c r="H15" s="224">
        <f t="shared" si="6"/>
        <v>120</v>
      </c>
      <c r="I15" s="224">
        <f t="shared" si="6"/>
        <v>120</v>
      </c>
      <c r="J15" s="224">
        <f t="shared" si="6"/>
        <v>120</v>
      </c>
      <c r="K15" s="224">
        <f t="shared" si="6"/>
        <v>120</v>
      </c>
      <c r="L15" s="224">
        <f t="shared" si="6"/>
        <v>120</v>
      </c>
      <c r="M15" s="224">
        <f t="shared" si="6"/>
        <v>120</v>
      </c>
    </row>
    <row r="16">
      <c r="A16" s="59" t="s">
        <v>256</v>
      </c>
      <c r="B16" s="69" t="s">
        <v>254</v>
      </c>
      <c r="C16" s="222">
        <f t="shared" ref="C16:M16" si="7">C15+C14</f>
        <v>183.51</v>
      </c>
      <c r="D16" s="222">
        <f t="shared" si="7"/>
        <v>183.51</v>
      </c>
      <c r="E16" s="222">
        <f t="shared" si="7"/>
        <v>183.51</v>
      </c>
      <c r="F16" s="222">
        <f t="shared" si="7"/>
        <v>183.51</v>
      </c>
      <c r="G16" s="222">
        <f t="shared" si="7"/>
        <v>183.51</v>
      </c>
      <c r="H16" s="222">
        <f t="shared" si="7"/>
        <v>183.51</v>
      </c>
      <c r="I16" s="222">
        <f t="shared" si="7"/>
        <v>183.51</v>
      </c>
      <c r="J16" s="222">
        <f t="shared" si="7"/>
        <v>183.51</v>
      </c>
      <c r="K16" s="222">
        <f t="shared" si="7"/>
        <v>183.51</v>
      </c>
      <c r="L16" s="222">
        <f t="shared" si="7"/>
        <v>183.51</v>
      </c>
      <c r="M16" s="222">
        <f t="shared" si="7"/>
        <v>183.51</v>
      </c>
    </row>
    <row r="17">
      <c r="A17" s="59" t="s">
        <v>257</v>
      </c>
      <c r="B17" s="69" t="s">
        <v>258</v>
      </c>
      <c r="C17" s="225">
        <v>49.0</v>
      </c>
      <c r="D17" s="225">
        <v>49.0</v>
      </c>
      <c r="E17" s="225">
        <v>68.0</v>
      </c>
      <c r="F17" s="225">
        <v>120.0</v>
      </c>
      <c r="G17" s="225">
        <v>130.0</v>
      </c>
      <c r="H17" s="225">
        <v>150.0</v>
      </c>
      <c r="I17" s="223">
        <v>600.0</v>
      </c>
      <c r="J17" s="223">
        <f>4*17.3</f>
        <v>69.2</v>
      </c>
      <c r="K17" s="225">
        <v>50.0</v>
      </c>
      <c r="L17" s="225">
        <v>12.0</v>
      </c>
      <c r="M17" s="225">
        <v>120.0</v>
      </c>
    </row>
    <row r="18">
      <c r="A18" s="59" t="s">
        <v>259</v>
      </c>
      <c r="B18" s="69" t="s">
        <v>260</v>
      </c>
      <c r="C18" s="222">
        <f t="shared" ref="C18:M18" si="8">C17*C16</f>
        <v>8991.99</v>
      </c>
      <c r="D18" s="222">
        <f t="shared" si="8"/>
        <v>8991.99</v>
      </c>
      <c r="E18" s="222">
        <f t="shared" si="8"/>
        <v>12478.68</v>
      </c>
      <c r="F18" s="222">
        <f t="shared" si="8"/>
        <v>22021.2</v>
      </c>
      <c r="G18" s="222">
        <f t="shared" si="8"/>
        <v>23856.3</v>
      </c>
      <c r="H18" s="222">
        <f t="shared" si="8"/>
        <v>27526.5</v>
      </c>
      <c r="I18" s="222">
        <f t="shared" si="8"/>
        <v>110106</v>
      </c>
      <c r="J18" s="222">
        <f t="shared" si="8"/>
        <v>12698.892</v>
      </c>
      <c r="K18" s="222">
        <f t="shared" si="8"/>
        <v>9175.5</v>
      </c>
      <c r="L18" s="222">
        <f t="shared" si="8"/>
        <v>2202.12</v>
      </c>
      <c r="M18" s="222">
        <f t="shared" si="8"/>
        <v>22021.2</v>
      </c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>
      <c r="A20" s="59" t="s">
        <v>261</v>
      </c>
      <c r="B20" s="69" t="s">
        <v>246</v>
      </c>
      <c r="C20" s="226">
        <f t="shared" ref="C20:M20" si="9">C18+C8</f>
        <v>51294.72737</v>
      </c>
      <c r="D20" s="226">
        <f t="shared" si="9"/>
        <v>54077.80219</v>
      </c>
      <c r="E20" s="226">
        <f t="shared" si="9"/>
        <v>69810.02143</v>
      </c>
      <c r="F20" s="226">
        <f t="shared" si="9"/>
        <v>105513.4448</v>
      </c>
      <c r="G20" s="226">
        <f t="shared" si="9"/>
        <v>121263.9189</v>
      </c>
      <c r="H20" s="226">
        <f t="shared" si="9"/>
        <v>166680.2413</v>
      </c>
      <c r="I20" s="226">
        <f t="shared" si="9"/>
        <v>457990.3533</v>
      </c>
      <c r="J20" s="226">
        <f t="shared" si="9"/>
        <v>90624.98715</v>
      </c>
      <c r="K20" s="226">
        <f t="shared" si="9"/>
        <v>183395.9841</v>
      </c>
      <c r="L20" s="226">
        <f t="shared" si="9"/>
        <v>24466.71861</v>
      </c>
      <c r="M20" s="226">
        <f t="shared" si="9"/>
        <v>105513.4448</v>
      </c>
    </row>
    <row r="21">
      <c r="A21" s="59" t="s">
        <v>261</v>
      </c>
      <c r="B21" s="69" t="s">
        <v>262</v>
      </c>
      <c r="C21" s="227">
        <f t="shared" ref="C21:M21" si="10">C20/(365/12*24*3600)</f>
        <v>0.01951854162</v>
      </c>
      <c r="D21" s="227">
        <f t="shared" si="10"/>
        <v>0.0205775503</v>
      </c>
      <c r="E21" s="227">
        <f t="shared" si="10"/>
        <v>0.02656393509</v>
      </c>
      <c r="F21" s="227">
        <f t="shared" si="10"/>
        <v>0.04014971263</v>
      </c>
      <c r="G21" s="227">
        <f t="shared" si="10"/>
        <v>0.04614304373</v>
      </c>
      <c r="H21" s="227">
        <f t="shared" si="10"/>
        <v>0.06342474937</v>
      </c>
      <c r="I21" s="227">
        <f t="shared" si="10"/>
        <v>0.174273346</v>
      </c>
      <c r="J21" s="227">
        <f t="shared" si="10"/>
        <v>0.03448439389</v>
      </c>
      <c r="K21" s="227">
        <f t="shared" si="10"/>
        <v>0.0697853821</v>
      </c>
      <c r="L21" s="227">
        <f t="shared" si="10"/>
        <v>0.009310014693</v>
      </c>
      <c r="M21" s="227">
        <f t="shared" si="10"/>
        <v>0.04014971263</v>
      </c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>
      <c r="A23" s="59" t="s">
        <v>263</v>
      </c>
      <c r="B23" s="59"/>
      <c r="C23" s="228">
        <f t="shared" ref="C23:M23" si="11">C8/C20</f>
        <v>0.8246995264</v>
      </c>
      <c r="D23" s="228">
        <f t="shared" si="11"/>
        <v>0.833721238</v>
      </c>
      <c r="E23" s="228">
        <f t="shared" si="11"/>
        <v>0.8212480136</v>
      </c>
      <c r="F23" s="228">
        <f t="shared" si="11"/>
        <v>0.7912948436</v>
      </c>
      <c r="G23" s="228">
        <f t="shared" si="11"/>
        <v>0.803269594</v>
      </c>
      <c r="H23" s="228">
        <f t="shared" si="11"/>
        <v>0.8348544508</v>
      </c>
      <c r="I23" s="228">
        <f t="shared" si="11"/>
        <v>0.7595888228</v>
      </c>
      <c r="J23" s="228">
        <f t="shared" si="11"/>
        <v>0.8598742753</v>
      </c>
      <c r="K23" s="228">
        <f t="shared" si="11"/>
        <v>0.9499689154</v>
      </c>
      <c r="L23" s="228">
        <f t="shared" si="11"/>
        <v>0.9099952865</v>
      </c>
      <c r="M23" s="228">
        <f t="shared" si="11"/>
        <v>0.7912948436</v>
      </c>
    </row>
    <row r="24">
      <c r="A24" s="59" t="s">
        <v>264</v>
      </c>
      <c r="B24" s="59"/>
      <c r="C24" s="228">
        <f t="shared" ref="C24:M24" si="12">C18/C20</f>
        <v>0.1753004736</v>
      </c>
      <c r="D24" s="228">
        <f t="shared" si="12"/>
        <v>0.166278762</v>
      </c>
      <c r="E24" s="228">
        <f t="shared" si="12"/>
        <v>0.1787519864</v>
      </c>
      <c r="F24" s="228">
        <f t="shared" si="12"/>
        <v>0.2087051564</v>
      </c>
      <c r="G24" s="228">
        <f t="shared" si="12"/>
        <v>0.196730406</v>
      </c>
      <c r="H24" s="228">
        <f t="shared" si="12"/>
        <v>0.1651455492</v>
      </c>
      <c r="I24" s="228">
        <f t="shared" si="12"/>
        <v>0.2404111772</v>
      </c>
      <c r="J24" s="228">
        <f t="shared" si="12"/>
        <v>0.1401257247</v>
      </c>
      <c r="K24" s="228">
        <f t="shared" si="12"/>
        <v>0.05003108461</v>
      </c>
      <c r="L24" s="228">
        <f t="shared" si="12"/>
        <v>0.09000471354</v>
      </c>
      <c r="M24" s="228">
        <f t="shared" si="12"/>
        <v>0.2087051564</v>
      </c>
    </row>
    <row r="26">
      <c r="B26" s="43" t="s">
        <v>265</v>
      </c>
      <c r="C26" s="43" t="s">
        <v>266</v>
      </c>
      <c r="D26" s="43" t="s">
        <v>267</v>
      </c>
    </row>
    <row r="27">
      <c r="B27" s="43" t="s">
        <v>268</v>
      </c>
      <c r="C27" s="43">
        <v>2.1</v>
      </c>
      <c r="D27" s="43">
        <v>2.1</v>
      </c>
    </row>
    <row r="28">
      <c r="B28" s="43" t="s">
        <v>269</v>
      </c>
      <c r="C28" s="43">
        <v>2.21</v>
      </c>
      <c r="D28" s="43">
        <v>2.21</v>
      </c>
      <c r="F28" s="43" t="s">
        <v>270</v>
      </c>
    </row>
    <row r="29">
      <c r="B29" s="43" t="s">
        <v>271</v>
      </c>
      <c r="C29" s="229">
        <v>0.867</v>
      </c>
      <c r="D29" s="229">
        <v>2.093</v>
      </c>
      <c r="F29" s="230">
        <f>F20*12</f>
        <v>1266161.338</v>
      </c>
      <c r="G29" s="231" t="s">
        <v>272</v>
      </c>
    </row>
    <row r="30">
      <c r="B30" s="43" t="s">
        <v>273</v>
      </c>
      <c r="C30" s="15">
        <v>708.4</v>
      </c>
      <c r="D30" s="15">
        <v>293.0</v>
      </c>
      <c r="F30" s="70">
        <f>F29/365</f>
        <v>3468.935171</v>
      </c>
      <c r="G30" s="231" t="s">
        <v>86</v>
      </c>
    </row>
    <row r="31">
      <c r="A31" s="57">
        <f>C30/(C27/1000)</f>
        <v>337333.3333</v>
      </c>
      <c r="B31" s="43" t="s">
        <v>274</v>
      </c>
      <c r="C31" s="15">
        <v>337337.0</v>
      </c>
      <c r="D31" s="15">
        <v>139649.0</v>
      </c>
      <c r="F31" s="70">
        <f>F30/24</f>
        <v>144.5389655</v>
      </c>
      <c r="G31" s="43" t="s">
        <v>275</v>
      </c>
    </row>
    <row r="32">
      <c r="A32" s="3">
        <f>C30*72</f>
        <v>51004.8</v>
      </c>
      <c r="B32" s="43" t="s">
        <v>276</v>
      </c>
      <c r="C32" s="13">
        <f t="shared" ref="C32:D32" si="13">C31*(C27*72/1000)</f>
        <v>51005.3544</v>
      </c>
      <c r="D32" s="13">
        <f t="shared" si="13"/>
        <v>21114.9288</v>
      </c>
      <c r="F32" s="70">
        <f t="shared" ref="F32:F33" si="15">F31/60</f>
        <v>2.408982758</v>
      </c>
      <c r="G32" s="43" t="s">
        <v>277</v>
      </c>
    </row>
    <row r="33">
      <c r="C33" s="168">
        <f t="shared" ref="C33:D33" si="14">C32*3.6/1000</f>
        <v>183.6192758</v>
      </c>
      <c r="D33" s="168">
        <f t="shared" si="14"/>
        <v>76.01374368</v>
      </c>
      <c r="F33" s="70">
        <f t="shared" si="15"/>
        <v>0.04014971263</v>
      </c>
      <c r="G33" s="43" t="s">
        <v>278</v>
      </c>
    </row>
    <row r="34">
      <c r="F34" s="70"/>
    </row>
    <row r="35">
      <c r="A35" s="70">
        <f>1000*C28/ (C30*3.6)</f>
        <v>0.8665851057</v>
      </c>
      <c r="B35" s="43" t="s">
        <v>279</v>
      </c>
      <c r="C35" s="70">
        <f t="shared" ref="C35:D35" si="16">C28*72/C33</f>
        <v>0.8665756864</v>
      </c>
      <c r="D35" s="70">
        <f t="shared" si="16"/>
        <v>2.093305662</v>
      </c>
      <c r="F35" s="70">
        <f>F31/72</f>
        <v>2.007485632</v>
      </c>
      <c r="G35" s="43" t="s">
        <v>269</v>
      </c>
    </row>
    <row r="36">
      <c r="F36" s="232"/>
    </row>
    <row r="37">
      <c r="D37" s="230"/>
      <c r="F37" s="233"/>
      <c r="I37" s="70"/>
      <c r="J37" s="70"/>
      <c r="K37" s="70"/>
    </row>
    <row r="38">
      <c r="B38" s="43" t="s">
        <v>280</v>
      </c>
      <c r="D38" s="230"/>
    </row>
    <row r="39">
      <c r="B39" s="43" t="s">
        <v>268</v>
      </c>
      <c r="C39" s="43">
        <v>2.1</v>
      </c>
      <c r="D39" s="230"/>
    </row>
    <row r="40">
      <c r="B40" s="43" t="s">
        <v>269</v>
      </c>
      <c r="C40" s="43">
        <v>2.21</v>
      </c>
      <c r="I40" s="57"/>
      <c r="J40" s="57"/>
      <c r="K40" s="57"/>
    </row>
    <row r="41">
      <c r="C41" s="229"/>
    </row>
    <row r="42">
      <c r="C42" s="15" t="s">
        <v>281</v>
      </c>
      <c r="D42" s="43" t="s">
        <v>282</v>
      </c>
      <c r="E42" s="43" t="s">
        <v>283</v>
      </c>
    </row>
    <row r="43">
      <c r="B43" s="43" t="s">
        <v>274</v>
      </c>
      <c r="C43" s="15">
        <v>5800000.0</v>
      </c>
      <c r="D43" s="4">
        <f t="shared" ref="D43:E43" si="17">C31</f>
        <v>337337</v>
      </c>
      <c r="E43" s="4">
        <f t="shared" si="17"/>
        <v>139649</v>
      </c>
    </row>
    <row r="44">
      <c r="B44" s="43" t="s">
        <v>276</v>
      </c>
      <c r="C44" s="4">
        <f>C43*(C39*72/1000)</f>
        <v>876960</v>
      </c>
      <c r="D44" s="4">
        <f t="shared" ref="D44:E44" si="18">C32</f>
        <v>51005.3544</v>
      </c>
      <c r="E44" s="4">
        <f t="shared" si="18"/>
        <v>21114.9288</v>
      </c>
      <c r="I44" s="57"/>
      <c r="J44" s="57"/>
      <c r="K44" s="57"/>
    </row>
    <row r="45" hidden="1">
      <c r="C45" s="168">
        <f>C44*3.6/1000</f>
        <v>3157.056</v>
      </c>
      <c r="D45" s="168">
        <f t="shared" ref="D45:E45" si="19">C33</f>
        <v>183.6192758</v>
      </c>
      <c r="E45" s="168">
        <f t="shared" si="19"/>
        <v>76.01374368</v>
      </c>
    </row>
    <row r="46" hidden="1">
      <c r="E46" s="3" t="str">
        <f>D34</f>
        <v/>
      </c>
    </row>
    <row r="47">
      <c r="B47" s="43" t="s">
        <v>279</v>
      </c>
      <c r="C47" s="70">
        <f>C40*72/C45</f>
        <v>0.05040138661</v>
      </c>
      <c r="D47" s="70">
        <f t="shared" ref="D47:E47" si="20">C35</f>
        <v>0.8665756864</v>
      </c>
      <c r="E47" s="70">
        <f t="shared" si="20"/>
        <v>2.093305662</v>
      </c>
    </row>
    <row r="50">
      <c r="C50" s="58" t="s">
        <v>281</v>
      </c>
      <c r="D50" s="62" t="s">
        <v>282</v>
      </c>
      <c r="E50" s="62" t="s">
        <v>283</v>
      </c>
    </row>
    <row r="51">
      <c r="B51" s="62" t="s">
        <v>274</v>
      </c>
      <c r="C51" s="15">
        <v>5800000.0</v>
      </c>
      <c r="D51" s="4">
        <v>337337.0</v>
      </c>
      <c r="E51" s="4">
        <v>139649.0</v>
      </c>
    </row>
    <row r="52">
      <c r="B52" s="62" t="s">
        <v>276</v>
      </c>
      <c r="C52" s="4">
        <v>876960.0000000001</v>
      </c>
      <c r="D52" s="4">
        <v>51005.35440000001</v>
      </c>
      <c r="E52" s="4">
        <v>21114.928800000005</v>
      </c>
    </row>
    <row r="53">
      <c r="B53" s="62" t="s">
        <v>279</v>
      </c>
      <c r="C53" s="70">
        <v>0.05040138660828315</v>
      </c>
      <c r="D53" s="70">
        <v>0.8665756864146009</v>
      </c>
      <c r="E53" s="70">
        <v>2.093305661537442</v>
      </c>
    </row>
  </sheetData>
  <drawing r:id="rId1"/>
  <tableParts count="1">
    <tablePart r:id="rId3"/>
  </tableParts>
</worksheet>
</file>